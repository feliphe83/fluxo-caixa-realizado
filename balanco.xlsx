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67532778-2497-46E1-951C-33395AF360D5}" xr6:coauthVersionLast="47" xr6:coauthVersionMax="47" xr10:uidLastSave="{00000000-0000-0000-0000-000000000000}"/>
  <bookViews>
    <workbookView xWindow="-120" yWindow="-120" windowWidth="20730" windowHeight="11760" activeTab="3" xr2:uid="{94F281FB-0465-4257-8A0C-5EC0BA0C62CE}"/>
  </bookViews>
  <sheets>
    <sheet name="Ativo" sheetId="1" r:id="rId1"/>
    <sheet name="passivo" sheetId="2" r:id="rId2"/>
    <sheet name="TESTE" sheetId="5" r:id="rId3"/>
    <sheet name="Planilha1" sheetId="3" r:id="rId4"/>
    <sheet name="indice" sheetId="4" r:id="rId5"/>
  </sheets>
  <definedNames>
    <definedName name="_xlnm._FilterDatabase" localSheetId="4" hidden="1">indice!$A$1:$D$630</definedName>
    <definedName name="_xlnm._FilterDatabase" localSheetId="1" hidden="1">passivo!$A$1:$S$35</definedName>
    <definedName name="_xlnm._FilterDatabase" localSheetId="3" hidden="1">Planilha1!$A$1:$I$512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5" i="3" l="1"/>
  <c r="I315" i="3"/>
  <c r="H316" i="3"/>
  <c r="I316" i="3"/>
  <c r="H317" i="3"/>
  <c r="I317" i="3"/>
  <c r="H318" i="3"/>
  <c r="I318" i="3"/>
  <c r="H319" i="3"/>
  <c r="I319" i="3"/>
  <c r="H320" i="3"/>
  <c r="I320" i="3"/>
  <c r="H321" i="3"/>
  <c r="I321" i="3"/>
  <c r="H322" i="3"/>
  <c r="I322" i="3"/>
  <c r="H323" i="3"/>
  <c r="I323" i="3"/>
  <c r="H324" i="3"/>
  <c r="I324" i="3"/>
  <c r="H325" i="3"/>
  <c r="I325" i="3"/>
  <c r="H326" i="3"/>
  <c r="I326" i="3"/>
  <c r="H327" i="3"/>
  <c r="I327" i="3"/>
  <c r="H328" i="3"/>
  <c r="I328" i="3"/>
  <c r="H329" i="3"/>
  <c r="I329" i="3"/>
  <c r="H330" i="3"/>
  <c r="I330" i="3"/>
  <c r="H331" i="3"/>
  <c r="I331" i="3"/>
  <c r="H332" i="3"/>
  <c r="I332" i="3"/>
  <c r="H333" i="3"/>
  <c r="I333" i="3"/>
  <c r="H334" i="3"/>
  <c r="I334" i="3"/>
  <c r="H335" i="3"/>
  <c r="I335" i="3"/>
  <c r="H336" i="3"/>
  <c r="I336" i="3"/>
  <c r="H337" i="3"/>
  <c r="I337" i="3"/>
  <c r="H338" i="3"/>
  <c r="I338" i="3"/>
  <c r="H339" i="3"/>
  <c r="I339" i="3"/>
  <c r="H340" i="3"/>
  <c r="I340" i="3"/>
  <c r="H341" i="3"/>
  <c r="I341" i="3"/>
  <c r="H342" i="3"/>
  <c r="I342" i="3"/>
  <c r="H343" i="3"/>
  <c r="I343" i="3"/>
  <c r="H344" i="3"/>
  <c r="I344" i="3"/>
  <c r="H345" i="3"/>
  <c r="I345" i="3"/>
  <c r="H346" i="3"/>
  <c r="I346" i="3"/>
  <c r="H347" i="3"/>
  <c r="I347" i="3"/>
  <c r="H348" i="3"/>
  <c r="I348" i="3"/>
  <c r="H349" i="3"/>
  <c r="I349" i="3"/>
  <c r="H350" i="3"/>
  <c r="I350" i="3"/>
  <c r="H351" i="3"/>
  <c r="I351" i="3"/>
  <c r="H352" i="3"/>
  <c r="I352" i="3"/>
  <c r="H353" i="3"/>
  <c r="I353" i="3"/>
  <c r="H354" i="3"/>
  <c r="I354" i="3"/>
  <c r="H355" i="3"/>
  <c r="I355" i="3"/>
  <c r="H356" i="3"/>
  <c r="I356" i="3"/>
  <c r="H357" i="3"/>
  <c r="I357" i="3"/>
  <c r="H358" i="3"/>
  <c r="I358" i="3"/>
  <c r="H359" i="3"/>
  <c r="I359" i="3"/>
  <c r="H360" i="3"/>
  <c r="I360" i="3"/>
  <c r="H361" i="3"/>
  <c r="I361" i="3"/>
  <c r="H362" i="3"/>
  <c r="I362" i="3"/>
  <c r="H363" i="3"/>
  <c r="I363" i="3"/>
  <c r="H364" i="3"/>
  <c r="I364" i="3"/>
  <c r="H365" i="3"/>
  <c r="I365" i="3"/>
  <c r="H366" i="3"/>
  <c r="I366" i="3"/>
  <c r="H367" i="3"/>
  <c r="I367" i="3"/>
  <c r="H368" i="3"/>
  <c r="I368" i="3"/>
  <c r="H369" i="3"/>
  <c r="I369" i="3"/>
  <c r="H370" i="3"/>
  <c r="I370" i="3"/>
  <c r="H371" i="3"/>
  <c r="I371" i="3"/>
  <c r="H372" i="3"/>
  <c r="I372" i="3"/>
  <c r="H373" i="3"/>
  <c r="I373" i="3"/>
  <c r="H374" i="3"/>
  <c r="I374" i="3"/>
  <c r="H375" i="3"/>
  <c r="I375" i="3"/>
  <c r="H376" i="3"/>
  <c r="I376" i="3"/>
  <c r="H377" i="3"/>
  <c r="I377" i="3"/>
  <c r="H378" i="3"/>
  <c r="I378" i="3"/>
  <c r="H379" i="3"/>
  <c r="I379" i="3"/>
  <c r="H380" i="3"/>
  <c r="I380" i="3"/>
  <c r="H381" i="3"/>
  <c r="I381" i="3"/>
  <c r="H382" i="3"/>
  <c r="I382" i="3"/>
  <c r="H383" i="3"/>
  <c r="I383" i="3"/>
  <c r="H384" i="3"/>
  <c r="I384" i="3"/>
  <c r="H385" i="3"/>
  <c r="I385" i="3"/>
  <c r="H386" i="3"/>
  <c r="I386" i="3"/>
  <c r="H387" i="3"/>
  <c r="I387" i="3"/>
  <c r="H388" i="3"/>
  <c r="I388" i="3"/>
  <c r="H389" i="3"/>
  <c r="I389" i="3"/>
  <c r="H390" i="3"/>
  <c r="I390" i="3"/>
  <c r="H391" i="3"/>
  <c r="I391" i="3"/>
  <c r="H392" i="3"/>
  <c r="I392" i="3"/>
  <c r="H393" i="3"/>
  <c r="I393" i="3"/>
  <c r="H394" i="3"/>
  <c r="I394" i="3"/>
  <c r="H395" i="3"/>
  <c r="I395" i="3"/>
  <c r="H396" i="3"/>
  <c r="I396" i="3"/>
  <c r="H397" i="3"/>
  <c r="I397" i="3"/>
  <c r="H398" i="3"/>
  <c r="I398" i="3"/>
  <c r="H399" i="3"/>
  <c r="I399" i="3"/>
  <c r="H400" i="3"/>
  <c r="I400" i="3"/>
  <c r="H401" i="3"/>
  <c r="I401" i="3"/>
  <c r="H402" i="3"/>
  <c r="I402" i="3"/>
  <c r="H403" i="3"/>
  <c r="I403" i="3"/>
  <c r="H404" i="3"/>
  <c r="I404" i="3"/>
  <c r="H405" i="3"/>
  <c r="I405" i="3"/>
  <c r="H406" i="3"/>
  <c r="I406" i="3"/>
  <c r="H407" i="3"/>
  <c r="I407" i="3"/>
  <c r="H408" i="3"/>
  <c r="I408" i="3"/>
  <c r="H409" i="3"/>
  <c r="I409" i="3"/>
  <c r="H410" i="3"/>
  <c r="I410" i="3"/>
  <c r="H411" i="3"/>
  <c r="I411" i="3"/>
  <c r="H412" i="3"/>
  <c r="I412" i="3"/>
  <c r="H413" i="3"/>
  <c r="I413" i="3"/>
  <c r="H414" i="3"/>
  <c r="I414" i="3"/>
  <c r="H415" i="3"/>
  <c r="I415" i="3"/>
  <c r="H416" i="3"/>
  <c r="I416" i="3"/>
  <c r="H417" i="3"/>
  <c r="I417" i="3"/>
  <c r="H418" i="3"/>
  <c r="I418" i="3"/>
  <c r="H419" i="3"/>
  <c r="I419" i="3"/>
  <c r="H420" i="3"/>
  <c r="I420" i="3"/>
  <c r="H421" i="3"/>
  <c r="I421" i="3"/>
  <c r="H422" i="3"/>
  <c r="I422" i="3"/>
  <c r="H423" i="3"/>
  <c r="I423" i="3"/>
  <c r="H424" i="3"/>
  <c r="I424" i="3"/>
  <c r="H425" i="3"/>
  <c r="I425" i="3"/>
  <c r="H426" i="3"/>
  <c r="I426" i="3"/>
  <c r="H427" i="3"/>
  <c r="I427" i="3"/>
  <c r="H428" i="3"/>
  <c r="I428" i="3"/>
  <c r="H429" i="3"/>
  <c r="I429" i="3"/>
  <c r="H430" i="3"/>
  <c r="I430" i="3"/>
  <c r="H431" i="3"/>
  <c r="I431" i="3"/>
  <c r="H432" i="3"/>
  <c r="I432" i="3"/>
  <c r="H433" i="3"/>
  <c r="I433" i="3"/>
  <c r="H434" i="3"/>
  <c r="I434" i="3"/>
  <c r="H435" i="3"/>
  <c r="I435" i="3"/>
  <c r="H436" i="3"/>
  <c r="I436" i="3"/>
  <c r="H437" i="3"/>
  <c r="I437" i="3"/>
  <c r="H438" i="3"/>
  <c r="I438" i="3"/>
  <c r="H439" i="3"/>
  <c r="I439" i="3"/>
  <c r="H440" i="3"/>
  <c r="I440" i="3"/>
  <c r="H441" i="3"/>
  <c r="I441" i="3"/>
  <c r="H442" i="3"/>
  <c r="I442" i="3"/>
  <c r="H443" i="3"/>
  <c r="I443" i="3"/>
  <c r="H444" i="3"/>
  <c r="I444" i="3"/>
  <c r="H445" i="3"/>
  <c r="I445" i="3"/>
  <c r="H446" i="3"/>
  <c r="I446" i="3"/>
  <c r="H447" i="3"/>
  <c r="I447" i="3"/>
  <c r="H448" i="3"/>
  <c r="I448" i="3"/>
  <c r="H449" i="3"/>
  <c r="I449" i="3"/>
  <c r="H450" i="3"/>
  <c r="I450" i="3"/>
  <c r="H451" i="3"/>
  <c r="I451" i="3"/>
  <c r="H452" i="3"/>
  <c r="I452" i="3"/>
  <c r="H453" i="3"/>
  <c r="I453" i="3"/>
  <c r="H454" i="3"/>
  <c r="I454" i="3"/>
  <c r="H455" i="3"/>
  <c r="I455" i="3"/>
  <c r="H456" i="3"/>
  <c r="I456" i="3"/>
  <c r="H457" i="3"/>
  <c r="I457" i="3"/>
  <c r="H458" i="3"/>
  <c r="I458" i="3"/>
  <c r="H459" i="3"/>
  <c r="I459" i="3"/>
  <c r="H460" i="3"/>
  <c r="I460" i="3"/>
  <c r="H461" i="3"/>
  <c r="I461" i="3"/>
  <c r="H462" i="3"/>
  <c r="I462" i="3"/>
  <c r="H463" i="3"/>
  <c r="I463" i="3"/>
  <c r="H464" i="3"/>
  <c r="I464" i="3"/>
  <c r="H465" i="3"/>
  <c r="I465" i="3"/>
  <c r="H466" i="3"/>
  <c r="I466" i="3"/>
  <c r="H467" i="3"/>
  <c r="I467" i="3"/>
  <c r="H468" i="3"/>
  <c r="I468" i="3"/>
  <c r="H469" i="3"/>
  <c r="I469" i="3"/>
  <c r="H470" i="3"/>
  <c r="I470" i="3"/>
  <c r="H471" i="3"/>
  <c r="I471" i="3"/>
  <c r="H472" i="3"/>
  <c r="I472" i="3"/>
  <c r="H473" i="3"/>
  <c r="I473" i="3"/>
  <c r="H474" i="3"/>
  <c r="I474" i="3"/>
  <c r="H475" i="3"/>
  <c r="I475" i="3"/>
  <c r="H476" i="3"/>
  <c r="I476" i="3"/>
  <c r="H477" i="3"/>
  <c r="I477" i="3"/>
  <c r="H478" i="3"/>
  <c r="I478" i="3"/>
  <c r="H479" i="3"/>
  <c r="I479" i="3"/>
  <c r="H480" i="3"/>
  <c r="I480" i="3"/>
  <c r="H481" i="3"/>
  <c r="I481" i="3"/>
  <c r="H482" i="3"/>
  <c r="I482" i="3"/>
  <c r="H483" i="3"/>
  <c r="I483" i="3"/>
  <c r="H484" i="3"/>
  <c r="I484" i="3"/>
  <c r="H485" i="3"/>
  <c r="I485" i="3"/>
  <c r="H486" i="3"/>
  <c r="I486" i="3"/>
  <c r="H487" i="3"/>
  <c r="I487" i="3"/>
  <c r="H488" i="3"/>
  <c r="I488" i="3"/>
  <c r="H489" i="3"/>
  <c r="I489" i="3"/>
  <c r="H490" i="3"/>
  <c r="I490" i="3"/>
  <c r="H491" i="3"/>
  <c r="I491" i="3"/>
  <c r="H492" i="3"/>
  <c r="I492" i="3"/>
  <c r="H493" i="3"/>
  <c r="I493" i="3"/>
  <c r="H494" i="3"/>
  <c r="I494" i="3"/>
  <c r="H495" i="3"/>
  <c r="I495" i="3"/>
  <c r="H496" i="3"/>
  <c r="I496" i="3"/>
  <c r="H497" i="3"/>
  <c r="I497" i="3"/>
  <c r="H498" i="3"/>
  <c r="I498" i="3"/>
  <c r="H499" i="3"/>
  <c r="I499" i="3"/>
  <c r="H500" i="3"/>
  <c r="I500" i="3"/>
  <c r="H501" i="3"/>
  <c r="I501" i="3"/>
  <c r="H502" i="3"/>
  <c r="I502" i="3"/>
  <c r="H503" i="3"/>
  <c r="I503" i="3"/>
  <c r="H504" i="3"/>
  <c r="I504" i="3"/>
  <c r="H505" i="3"/>
  <c r="I505" i="3"/>
  <c r="H506" i="3"/>
  <c r="I506" i="3"/>
  <c r="H507" i="3"/>
  <c r="I507" i="3"/>
  <c r="H508" i="3"/>
  <c r="I508" i="3"/>
  <c r="H509" i="3"/>
  <c r="I509" i="3"/>
  <c r="H510" i="3"/>
  <c r="I510" i="3"/>
  <c r="H511" i="3"/>
  <c r="I511" i="3"/>
  <c r="H512" i="3"/>
  <c r="I512" i="3"/>
  <c r="H513" i="3"/>
  <c r="I513" i="3"/>
  <c r="H514" i="3"/>
  <c r="I514" i="3"/>
  <c r="H515" i="3"/>
  <c r="I515" i="3"/>
  <c r="M33" i="2"/>
  <c r="B9" i="5"/>
  <c r="B3" i="5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J204" i="3"/>
  <c r="J203" i="3"/>
  <c r="C3" i="5"/>
  <c r="B24" i="5"/>
  <c r="B19" i="5"/>
  <c r="B14" i="5"/>
  <c r="C19" i="5"/>
  <c r="C9" i="5"/>
  <c r="C14" i="5"/>
  <c r="H291" i="3"/>
  <c r="I8" i="3"/>
  <c r="H8" i="3"/>
  <c r="H265" i="3"/>
  <c r="I265" i="3"/>
  <c r="H280" i="3"/>
  <c r="I279" i="3"/>
  <c r="H279" i="3"/>
  <c r="H41" i="3"/>
  <c r="I41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81" i="3"/>
  <c r="H282" i="3"/>
  <c r="H283" i="3"/>
  <c r="H284" i="3"/>
  <c r="H285" i="3"/>
  <c r="H286" i="3"/>
  <c r="H287" i="3"/>
  <c r="H288" i="3"/>
  <c r="H289" i="3"/>
  <c r="H290" i="3"/>
  <c r="H292" i="3"/>
  <c r="H293" i="3"/>
  <c r="H294" i="3"/>
  <c r="H295" i="3"/>
  <c r="H296" i="3"/>
  <c r="H297" i="3"/>
  <c r="H9" i="3"/>
  <c r="K19" i="2" l="1"/>
  <c r="K18" i="1"/>
  <c r="B23" i="5" s="1"/>
  <c r="B25" i="5" s="1"/>
  <c r="K17" i="1"/>
  <c r="B18" i="5" s="1"/>
  <c r="B20" i="5" s="1"/>
  <c r="K16" i="1"/>
  <c r="K15" i="1"/>
  <c r="K14" i="1"/>
  <c r="K13" i="1"/>
  <c r="K12" i="1"/>
  <c r="K11" i="1"/>
  <c r="K10" i="1"/>
  <c r="K8" i="1"/>
  <c r="K7" i="1"/>
  <c r="K5" i="1"/>
  <c r="K4" i="1"/>
  <c r="K3" i="1"/>
  <c r="K2" i="1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D3" i="5"/>
  <c r="F3" i="5" s="1"/>
  <c r="S34" i="2"/>
  <c r="S35" i="2"/>
  <c r="C8" i="5" l="1"/>
  <c r="C18" i="5"/>
  <c r="B2" i="5"/>
  <c r="B8" i="5"/>
  <c r="B10" i="5" s="1"/>
  <c r="C2" i="5"/>
  <c r="B13" i="5"/>
  <c r="B15" i="5" s="1"/>
  <c r="C13" i="5"/>
  <c r="C15" i="5" s="1"/>
  <c r="S5" i="1"/>
  <c r="D8" i="5" l="1"/>
  <c r="C10" i="5"/>
  <c r="C20" i="5"/>
  <c r="D18" i="5"/>
  <c r="B5" i="5"/>
  <c r="B4" i="5"/>
  <c r="C5" i="5"/>
  <c r="C4" i="5"/>
  <c r="D2" i="5"/>
  <c r="F2" i="5" s="1"/>
</calcChain>
</file>

<file path=xl/sharedStrings.xml><?xml version="1.0" encoding="utf-8"?>
<sst xmlns="http://schemas.openxmlformats.org/spreadsheetml/2006/main" count="3534" uniqueCount="1238">
  <si>
    <t>Ativo  Circulante</t>
  </si>
  <si>
    <t>Caixa e Equivalentes de Caixa</t>
  </si>
  <si>
    <t>Disponível</t>
  </si>
  <si>
    <t>Contas a Receber - Clientes</t>
  </si>
  <si>
    <t>Contas a receber</t>
  </si>
  <si>
    <t>Adiantamento a Fornecedores</t>
  </si>
  <si>
    <t>Adiantamentos concedidos</t>
  </si>
  <si>
    <t xml:space="preserve">Tributos a Recuperar </t>
  </si>
  <si>
    <t>Impostos recuperáveis</t>
  </si>
  <si>
    <t>Outros Créditos</t>
  </si>
  <si>
    <t>Desconto Celular</t>
  </si>
  <si>
    <t>Bens a receber ( mercadorias diversas/bens destinados ao ativo permanente)</t>
  </si>
  <si>
    <t xml:space="preserve">Estoques </t>
  </si>
  <si>
    <t xml:space="preserve">Despesas do Exercício Seguinte </t>
  </si>
  <si>
    <t>Apontamentos Ind. Agr. Impostos( IPVA/IPTU) / Seguros gerais</t>
  </si>
  <si>
    <t>Impostos( IPVA/IPTU) / Seguros gerais</t>
  </si>
  <si>
    <t>Ativo Biológico</t>
  </si>
  <si>
    <t>Tratos culturais / ajuste ativo biologico</t>
  </si>
  <si>
    <t xml:space="preserve">Depositos Judiciais  </t>
  </si>
  <si>
    <t>Engenharq/prefeitura rio largo/ creditos lei 4870</t>
  </si>
  <si>
    <t>Não Circulante</t>
  </si>
  <si>
    <t>Realizável a Longo Prazo</t>
  </si>
  <si>
    <t xml:space="preserve">Transações com Partes Relacionadas </t>
  </si>
  <si>
    <t>Depositos Trabalhistas/Civis/Tributários</t>
  </si>
  <si>
    <t>Pedido de Ressarcimento - IPI</t>
  </si>
  <si>
    <t>Contas a Receber L.P</t>
  </si>
  <si>
    <t xml:space="preserve">Investimentos </t>
  </si>
  <si>
    <t>Participações em outras empresas</t>
  </si>
  <si>
    <t xml:space="preserve">Imobilizado </t>
  </si>
  <si>
    <t>Imobilizado</t>
  </si>
  <si>
    <t>Grupo</t>
  </si>
  <si>
    <t>Nivel</t>
  </si>
  <si>
    <t>Nivel 2</t>
  </si>
  <si>
    <t>Descricao</t>
  </si>
  <si>
    <t>Tipo</t>
  </si>
  <si>
    <t>Ativo</t>
  </si>
  <si>
    <t xml:space="preserve"> Passivo Circulante</t>
  </si>
  <si>
    <t>Empréstimos e financiamentos</t>
  </si>
  <si>
    <t>Daycoval/Raizen</t>
  </si>
  <si>
    <t>Raizen</t>
  </si>
  <si>
    <t>Fornecedores</t>
  </si>
  <si>
    <t>Fornecedores diversos</t>
  </si>
  <si>
    <t>Impostos taxas e Contribuições Diversas</t>
  </si>
  <si>
    <t>Impostos taxas e contribuições</t>
  </si>
  <si>
    <t>Encargos tributários</t>
  </si>
  <si>
    <t>Salarios e provisão de férias</t>
  </si>
  <si>
    <t>Salarioa a pagar</t>
  </si>
  <si>
    <t>Provisões</t>
  </si>
  <si>
    <t>Acordos Judiciais</t>
  </si>
  <si>
    <t>Parcelamentos Fiscais</t>
  </si>
  <si>
    <t>Adiantamentos de clientes</t>
  </si>
  <si>
    <t>Credores sob contrato</t>
  </si>
  <si>
    <t>Credores diversos</t>
  </si>
  <si>
    <t>Emprestimos de mercadorias</t>
  </si>
  <si>
    <t>Cooperativa conta corrente</t>
  </si>
  <si>
    <t>Parcelamento fiscais</t>
  </si>
  <si>
    <t>Provisão para perda de investimentos</t>
  </si>
  <si>
    <t>Partes relacionadas</t>
  </si>
  <si>
    <t>Mundau agro pecuaria</t>
  </si>
  <si>
    <t>Credores recuperação judicial</t>
  </si>
  <si>
    <t>Provisão para Contigências</t>
  </si>
  <si>
    <t>Patrimônio líquido</t>
  </si>
  <si>
    <t>Capital social</t>
  </si>
  <si>
    <t>Reserva de lucro</t>
  </si>
  <si>
    <t>Reservas</t>
  </si>
  <si>
    <t>Prejuízos acumulados</t>
  </si>
  <si>
    <t>Lucros/Prejuizos acumulados</t>
  </si>
  <si>
    <t>Resultado do exercício</t>
  </si>
  <si>
    <t>Passivo</t>
  </si>
  <si>
    <t xml:space="preserve">Nivel </t>
  </si>
  <si>
    <t>Ordem</t>
  </si>
  <si>
    <t>Fornecedores Diversos</t>
  </si>
  <si>
    <t>Passivo Não Circulante</t>
  </si>
  <si>
    <t>Cod_tipo</t>
  </si>
  <si>
    <t>cod_Nivel</t>
  </si>
  <si>
    <t>Cod_grupo</t>
  </si>
  <si>
    <t>Outras contas a pagar</t>
  </si>
  <si>
    <t>Cod_nivel 2</t>
  </si>
  <si>
    <t>Tributos a Recuperar</t>
  </si>
  <si>
    <t>Depositos Judiciais</t>
  </si>
  <si>
    <t>ACL</t>
  </si>
  <si>
    <t>Balancete - Padrão - Fiscal</t>
  </si>
  <si>
    <t>Grupo Empresa: 1 - Santa Clotilde</t>
  </si>
  <si>
    <t>Empresa: 1 - USINA SANTA CLOTILDE</t>
  </si>
  <si>
    <t>Filial: 1 - USINA SANTA CLOTILDE S/A</t>
  </si>
  <si>
    <t>Período:  01/01/2024 à 30/04/2024</t>
  </si>
  <si>
    <t>Conta contábil:  1 à 0</t>
  </si>
  <si>
    <t>Form:  1016</t>
  </si>
  <si>
    <t>Conta</t>
  </si>
  <si>
    <t>Descrição</t>
  </si>
  <si>
    <t>Saldo Anterior</t>
  </si>
  <si>
    <t>Débitos</t>
  </si>
  <si>
    <t>Créditos</t>
  </si>
  <si>
    <t>Saldo Mensal</t>
  </si>
  <si>
    <t>Saldo</t>
  </si>
  <si>
    <t xml:space="preserve"> 1</t>
  </si>
  <si>
    <t>ATIVO</t>
  </si>
  <si>
    <t xml:space="preserve"> 1.1</t>
  </si>
  <si>
    <t>ATIVO CIRCULANTE</t>
  </si>
  <si>
    <t xml:space="preserve"> 1.1.1</t>
  </si>
  <si>
    <t>DISPONÍVEL</t>
  </si>
  <si>
    <t xml:space="preserve"> 1.1.1.01</t>
  </si>
  <si>
    <t>CAIXA</t>
  </si>
  <si>
    <t xml:space="preserve"> 1.1.1.01.001</t>
  </si>
  <si>
    <t>CAIXA AGRÍCOLA</t>
  </si>
  <si>
    <t xml:space="preserve"> 1.1.1.01.002</t>
  </si>
  <si>
    <t>CAIXA INDÚSTRIA</t>
  </si>
  <si>
    <t xml:space="preserve"> 1.1.1.01.003</t>
  </si>
  <si>
    <t>CAIXA ADM. CENTRAL</t>
  </si>
  <si>
    <t xml:space="preserve"> 1.1.1.01.005</t>
  </si>
  <si>
    <t>CONTA - TRANSITORIO</t>
  </si>
  <si>
    <t xml:space="preserve"> 1.1.1.01.006</t>
  </si>
  <si>
    <t>CAIXA ADM. RH</t>
  </si>
  <si>
    <t xml:space="preserve"> 1.1.1.02</t>
  </si>
  <si>
    <t>BANCO C/MOVIMENTO</t>
  </si>
  <si>
    <t xml:space="preserve"> 1.1.1.02.001</t>
  </si>
  <si>
    <t>CAIXA ECONÔMICA FEDERAL C/C 231-3</t>
  </si>
  <si>
    <t xml:space="preserve"> 1.1.1.02.003</t>
  </si>
  <si>
    <t>BIC BANCO - C/C 14100218/7</t>
  </si>
  <si>
    <t xml:space="preserve"> 1.1.1.02.007</t>
  </si>
  <si>
    <t>BIC BANCO - C/C 42.100219-5</t>
  </si>
  <si>
    <t xml:space="preserve"> 1.1.1.02.010</t>
  </si>
  <si>
    <t>BANCO BRADESCO - C/C 85000-4</t>
  </si>
  <si>
    <t xml:space="preserve"> 1.1.1.02.011</t>
  </si>
  <si>
    <t>BANCO DAYCOVAL - C/C 7316552</t>
  </si>
  <si>
    <t xml:space="preserve"> 1.1.1.02.013</t>
  </si>
  <si>
    <t>BANCO BTG PACTUAL - C/C 1320679</t>
  </si>
  <si>
    <t xml:space="preserve"> 1.1.1.03</t>
  </si>
  <si>
    <t>BANCO C/ APLICAÇÕES FINANCEIRAS</t>
  </si>
  <si>
    <t xml:space="preserve"> 1.1.1.03.001</t>
  </si>
  <si>
    <t>CAIXA ECONÔMICA FEDERAL (RIO LARGO)</t>
  </si>
  <si>
    <t xml:space="preserve"> 1.1.1.03.007</t>
  </si>
  <si>
    <t>BANCO DAYCOVAL C/C 731655</t>
  </si>
  <si>
    <t xml:space="preserve"> 1.1.1.05</t>
  </si>
  <si>
    <t>INVESTIMENTOS</t>
  </si>
  <si>
    <t xml:space="preserve"> 1.1.1.05.002</t>
  </si>
  <si>
    <t>POUPANÇA CEF - 114</t>
  </si>
  <si>
    <t xml:space="preserve"> 1.1.1.05.004</t>
  </si>
  <si>
    <t>BTG PACTUAL</t>
  </si>
  <si>
    <t xml:space="preserve"> 1.1.1.05.006</t>
  </si>
  <si>
    <t>CAIXA ECONOMICA FEDERAL</t>
  </si>
  <si>
    <t xml:space="preserve"> 1.1.2</t>
  </si>
  <si>
    <t>CONTAS A RECEBER</t>
  </si>
  <si>
    <t xml:space="preserve"> 1.1.2.01</t>
  </si>
  <si>
    <t>CRÉDITOS A RECEBER</t>
  </si>
  <si>
    <t xml:space="preserve"> 1.1.2.01.001</t>
  </si>
  <si>
    <t xml:space="preserve"> 1.1.2.01.998</t>
  </si>
  <si>
    <t>(-) PROVISÃO PARA DEVEDORES DUVIDOSOS</t>
  </si>
  <si>
    <t xml:space="preserve"> 1.1.3</t>
  </si>
  <si>
    <t>ADIANTAMENTOS CONCEDIDOS</t>
  </si>
  <si>
    <t xml:space="preserve"> 1.1.3.01</t>
  </si>
  <si>
    <t>ADIANTAMENTOS DIVERSOS</t>
  </si>
  <si>
    <t xml:space="preserve"> 1.1.3.01.001</t>
  </si>
  <si>
    <t>ADIANTAMENTOS A FORNEC DE CANA</t>
  </si>
  <si>
    <t xml:space="preserve"> 1.1.3.01.002</t>
  </si>
  <si>
    <t>ADIANTAMENTOS A FORNEC DE MAT,  EQUIP. E PROP.</t>
  </si>
  <si>
    <t xml:space="preserve"> 1.1.3.01.003</t>
  </si>
  <si>
    <t xml:space="preserve">ADIANTAMENTO DA FOLHA DE PAGAMENTO </t>
  </si>
  <si>
    <t xml:space="preserve"> 1.1.3.01.004</t>
  </si>
  <si>
    <t>EMPRESTIMOS A EMPREGADOS</t>
  </si>
  <si>
    <t xml:space="preserve"> 1.1.3.01.006</t>
  </si>
  <si>
    <t>ADIANTAMENTOS DE FÉRIAS</t>
  </si>
  <si>
    <t xml:space="preserve"> 1.1.3.01.009</t>
  </si>
  <si>
    <t>ADIANTAMENTO DE 13º SALÁRIO</t>
  </si>
  <si>
    <t xml:space="preserve"> 1.1.3.01.999</t>
  </si>
  <si>
    <t xml:space="preserve"> 1.1.4</t>
  </si>
  <si>
    <t>IMPOSTOS RECUPERÁVEIS</t>
  </si>
  <si>
    <t xml:space="preserve"> 1.1.4.01</t>
  </si>
  <si>
    <t>IMPOSTOS</t>
  </si>
  <si>
    <t xml:space="preserve"> 1.1.4.01.001</t>
  </si>
  <si>
    <t>IPI</t>
  </si>
  <si>
    <t xml:space="preserve"> 1.1.4.01.002</t>
  </si>
  <si>
    <t>ICMS</t>
  </si>
  <si>
    <t xml:space="preserve"> 1.1.4.01.003</t>
  </si>
  <si>
    <t>IRRF</t>
  </si>
  <si>
    <t xml:space="preserve"> 1.1.4.01.009</t>
  </si>
  <si>
    <t>PIS A RECUPERAR</t>
  </si>
  <si>
    <t xml:space="preserve"> 1.1.4.01.021</t>
  </si>
  <si>
    <t>IMPOSTO DE RENDA ESTIMATIVA MENSAL</t>
  </si>
  <si>
    <t xml:space="preserve"> 1.1.4.01.022</t>
  </si>
  <si>
    <t>CSLL ESTIMATIVA MENSAL</t>
  </si>
  <si>
    <t xml:space="preserve"> 1.1.4.01.023</t>
  </si>
  <si>
    <t>COFINS A RECUPERAR</t>
  </si>
  <si>
    <t xml:space="preserve"> 1.1.4.01.024</t>
  </si>
  <si>
    <t>CSLL A RECUPERAR</t>
  </si>
  <si>
    <t xml:space="preserve"> 1.1.4.01.025</t>
  </si>
  <si>
    <t>IMPOSTO DE RENDA A COMPENSAR</t>
  </si>
  <si>
    <t xml:space="preserve"> 1.1.4.01.026</t>
  </si>
  <si>
    <t>CSLL A COMPENSAR</t>
  </si>
  <si>
    <t xml:space="preserve"> 1.1.4.01.027</t>
  </si>
  <si>
    <t>IRRF A RECUPERAR</t>
  </si>
  <si>
    <t xml:space="preserve"> 1.1.4.02</t>
  </si>
  <si>
    <t>PIS</t>
  </si>
  <si>
    <t xml:space="preserve"> 1.1.4.02.002</t>
  </si>
  <si>
    <t>PIS S/ INSUMOS</t>
  </si>
  <si>
    <t xml:space="preserve"> 1.1.4.02.003</t>
  </si>
  <si>
    <t>PIS S/ ENERGIA ELÉTRICA</t>
  </si>
  <si>
    <t xml:space="preserve"> 1.1.4.02.004</t>
  </si>
  <si>
    <t>PIS S/ DEPRECIAÇÃO BENS</t>
  </si>
  <si>
    <t xml:space="preserve"> 1.1.4.02.005</t>
  </si>
  <si>
    <t>PIS S/ SERVIÇOS PRESTADOS - P.J.</t>
  </si>
  <si>
    <t xml:space="preserve"> 1.1.4.02.006</t>
  </si>
  <si>
    <t>PIS S/ FRETES</t>
  </si>
  <si>
    <t xml:space="preserve"> 1.1.4.02.009</t>
  </si>
  <si>
    <t>CRÉDITO PIS - RECEITA TRIBUTADA - MI</t>
  </si>
  <si>
    <t xml:space="preserve"> 1.1.4.02.010</t>
  </si>
  <si>
    <t>CRÉDITO PIS - RECEITA - ME</t>
  </si>
  <si>
    <t xml:space="preserve"> 1.1.4.02.011</t>
  </si>
  <si>
    <t>PIS S/ ALUGUÉIS/ARRENDAMENTOS DE IMÓVEIS</t>
  </si>
  <si>
    <t xml:space="preserve"> 1.1.4.02.013</t>
  </si>
  <si>
    <t>PIS S/ DEPRECIAÇÃO DE LAVOURA</t>
  </si>
  <si>
    <t xml:space="preserve"> 1.1.4.02.015</t>
  </si>
  <si>
    <t>PIS A RESSARCIR/COMPESAR - REINTEGRA</t>
  </si>
  <si>
    <t xml:space="preserve"> 1.1.4.03</t>
  </si>
  <si>
    <t>COFINS</t>
  </si>
  <si>
    <t xml:space="preserve"> 1.1.4.03.002</t>
  </si>
  <si>
    <t>COFINS S/ INSUMOS</t>
  </si>
  <si>
    <t xml:space="preserve"> 1.1.4.03.003</t>
  </si>
  <si>
    <t>COFINS S/ ENERGIA ELÉTRICA</t>
  </si>
  <si>
    <t xml:space="preserve"> 1.1.4.03.004</t>
  </si>
  <si>
    <t>COFINS S/ DEPRECIAÇÃO BENS</t>
  </si>
  <si>
    <t xml:space="preserve"> 1.1.4.03.005</t>
  </si>
  <si>
    <t>COFINS S/ SERVIÇOS PRESTADOS - P.J.</t>
  </si>
  <si>
    <t xml:space="preserve"> 1.1.4.03.006</t>
  </si>
  <si>
    <t>COFINS S/ FRETES</t>
  </si>
  <si>
    <t xml:space="preserve"> 1.1.4.03.009</t>
  </si>
  <si>
    <t>CRÉDITO COFINS - RECEITA TRIBUTADA - MI</t>
  </si>
  <si>
    <t xml:space="preserve"> 1.1.4.03.010</t>
  </si>
  <si>
    <t>CRÉDITO COFINS - RECEITA - ME</t>
  </si>
  <si>
    <t xml:space="preserve"> 1.1.4.03.011</t>
  </si>
  <si>
    <t>COFINS S/ ALUGUÉIS/ARRENDAMENTOS DE IMÓVEIS</t>
  </si>
  <si>
    <t xml:space="preserve"> 1.1.4.03.013</t>
  </si>
  <si>
    <t>COFINS S/ DEPRECIAÇÃO DE LAVOURA</t>
  </si>
  <si>
    <t xml:space="preserve"> 1.1.4.03.015</t>
  </si>
  <si>
    <t>COFINS A RESSARCIR/COMPENSAR - REINTEGRA</t>
  </si>
  <si>
    <t xml:space="preserve"> 1.1.4.04</t>
  </si>
  <si>
    <t>IMPOSTOS A COMPENSAR</t>
  </si>
  <si>
    <t xml:space="preserve"> 1.1.4.04.003</t>
  </si>
  <si>
    <t>PEDIDO DE RESSARC - COFINS NÃO-CUMUL. - EXP.</t>
  </si>
  <si>
    <t xml:space="preserve"> 1.1.4.04.004</t>
  </si>
  <si>
    <t>PEDIDO DE RESSARC - PIS/PASEP NÃO-CUMUL. - EXP.</t>
  </si>
  <si>
    <t xml:space="preserve"> 1.1.4.04.005</t>
  </si>
  <si>
    <t>PEDIDO DE RESSARC - COFINS NÃO-CUMUL. - M. INTER</t>
  </si>
  <si>
    <t xml:space="preserve"> 1.1.4.04.006</t>
  </si>
  <si>
    <t>PEDIDO DE RESSARC - PIS/PASEP NÃO-CUMUL.-M. INTER</t>
  </si>
  <si>
    <t xml:space="preserve"> 1.1.4.04.009</t>
  </si>
  <si>
    <t>PEDIDO DE RESSARC - IRPJ</t>
  </si>
  <si>
    <t xml:space="preserve"> 1.1.5</t>
  </si>
  <si>
    <t>BENS A RECEBER</t>
  </si>
  <si>
    <t xml:space="preserve"> 1.1.5.01</t>
  </si>
  <si>
    <t>MERCADORIAS A RECEBER - FORNECEDORES</t>
  </si>
  <si>
    <t xml:space="preserve"> 1.1.5.01.001</t>
  </si>
  <si>
    <t>MERCADORIAS DIVERSAS</t>
  </si>
  <si>
    <t xml:space="preserve"> 1.1.5.01.002</t>
  </si>
  <si>
    <t>BENS DESTINADOS AO ATIVO PERMANENTE</t>
  </si>
  <si>
    <t xml:space="preserve"> 1.1.6</t>
  </si>
  <si>
    <t>ESTOQUES</t>
  </si>
  <si>
    <t xml:space="preserve"> 1.1.6.01</t>
  </si>
  <si>
    <t>ESTOQUES DE PRODUTOS ACABADOS</t>
  </si>
  <si>
    <t xml:space="preserve"> 1.1.6.01.001</t>
  </si>
  <si>
    <t>AÇÚCAR VHP</t>
  </si>
  <si>
    <t xml:space="preserve"> 1.1.6.01.002</t>
  </si>
  <si>
    <t>ÁLCOOL HIDRATADO</t>
  </si>
  <si>
    <t xml:space="preserve"> 1.1.6.01.003</t>
  </si>
  <si>
    <t>MELAÇO</t>
  </si>
  <si>
    <t xml:space="preserve"> 1.1.6.01.005</t>
  </si>
  <si>
    <t>ÁLCOOL ANIDRO</t>
  </si>
  <si>
    <t xml:space="preserve"> 1.1.6.02</t>
  </si>
  <si>
    <t>ESTOQUES EM PODER DE TERCEIROS</t>
  </si>
  <si>
    <t xml:space="preserve"> 1.1.6.02.004</t>
  </si>
  <si>
    <t>AÇÚCAR VHP - EMPAT</t>
  </si>
  <si>
    <t xml:space="preserve"> 1.1.6.03</t>
  </si>
  <si>
    <t>ESTOQUES DE MATERIAIS / INSUMOS</t>
  </si>
  <si>
    <t xml:space="preserve"> 1.1.6.03.001</t>
  </si>
  <si>
    <t>ALMOXARIFADO DE MATERIAIS</t>
  </si>
  <si>
    <t xml:space="preserve"> 1.1.6.03.002</t>
  </si>
  <si>
    <t>ALMOXARIFADO AGRÍCOLA</t>
  </si>
  <si>
    <t xml:space="preserve"> 1.1.6.03.004</t>
  </si>
  <si>
    <t>MERCADORIAS EM PODER DE TERCEIROS</t>
  </si>
  <si>
    <t xml:space="preserve"> 1.1.6.03.006</t>
  </si>
  <si>
    <t>MERCADORIAS DE TERCEIROS EM NOSSO PODER</t>
  </si>
  <si>
    <t xml:space="preserve"> 1.1.7</t>
  </si>
  <si>
    <t>DESPESAS DO EXERCÍCIO SEGUINTE</t>
  </si>
  <si>
    <t xml:space="preserve"> 1.1.7.03</t>
  </si>
  <si>
    <t>DESPESAS ANTECIPADAS</t>
  </si>
  <si>
    <t xml:space="preserve"> 1.1.7.03.002</t>
  </si>
  <si>
    <t>IMPOSTOS E TAXAS</t>
  </si>
  <si>
    <t xml:space="preserve"> 1.1.7.04</t>
  </si>
  <si>
    <t>ATIVO BIOLÓGICO</t>
  </si>
  <si>
    <t xml:space="preserve"> 1.1.7.04.001</t>
  </si>
  <si>
    <t>TRATOS CULTURAIS À  AMORTIZAR SAFRA CORRENTE</t>
  </si>
  <si>
    <t xml:space="preserve"> 1.1.7.04.002</t>
  </si>
  <si>
    <t>TRATOS CULTURAIS À  AMORTIZAR SAFRA SEGUINTE</t>
  </si>
  <si>
    <t xml:space="preserve"> 1.1.7.04.003</t>
  </si>
  <si>
    <t>CUSTO DEPRECIAÇÃO LAVOURA DE CANA</t>
  </si>
  <si>
    <t xml:space="preserve"> 1.1.7.04.099</t>
  </si>
  <si>
    <t>AJUSTE DO ATIVO BIOLOGICO</t>
  </si>
  <si>
    <t xml:space="preserve"> 1.1.9</t>
  </si>
  <si>
    <t>DEPOSITOS JUDICIAIS</t>
  </si>
  <si>
    <t xml:space="preserve"> 1.1.9.01</t>
  </si>
  <si>
    <t>DEPOSITOS JUDICIAIS - PROC. RECUPERAÇÃO JUDICIAL</t>
  </si>
  <si>
    <t xml:space="preserve"> 1.1.9.01.001</t>
  </si>
  <si>
    <t>ENGENHARQ LTDA</t>
  </si>
  <si>
    <t xml:space="preserve"> 1.1.9.01.002</t>
  </si>
  <si>
    <t>PREFEITURA DE MUNICIPAL DE RIO LARGO</t>
  </si>
  <si>
    <t xml:space="preserve"> 1.1.9.01.003</t>
  </si>
  <si>
    <t>CREDITOS INDENIZATORIOS A RECEBER LEI</t>
  </si>
  <si>
    <t xml:space="preserve"> 1.2</t>
  </si>
  <si>
    <t>ATIVO NÃO CIRCULANTE</t>
  </si>
  <si>
    <t xml:space="preserve"> 1.2.1</t>
  </si>
  <si>
    <t>VALORES A RECEBER</t>
  </si>
  <si>
    <t xml:space="preserve"> 1.2.1.02</t>
  </si>
  <si>
    <t>DÉBITOS DE COLIGADAS E CONTROLADAS</t>
  </si>
  <si>
    <t xml:space="preserve"> 1.2.1.02.001</t>
  </si>
  <si>
    <t>CENTRAL AÇUCAREIRA SANTA MARIA S/A</t>
  </si>
  <si>
    <t xml:space="preserve"> 1.2.1.03</t>
  </si>
  <si>
    <t>DEPÓSITOS PARA RECURSOS</t>
  </si>
  <si>
    <t xml:space="preserve"> 1.2.1.03.001</t>
  </si>
  <si>
    <t>TRABALHISTAS</t>
  </si>
  <si>
    <t xml:space="preserve"> 1.2.1.03.002</t>
  </si>
  <si>
    <t>CIVIS</t>
  </si>
  <si>
    <t xml:space="preserve"> 1.2.1.03.003</t>
  </si>
  <si>
    <t>TRIBUTÁRIOS</t>
  </si>
  <si>
    <t xml:space="preserve"> 1.2.1.03.004</t>
  </si>
  <si>
    <t>DEPOSITOS RECURSAL</t>
  </si>
  <si>
    <t xml:space="preserve"> 1.3</t>
  </si>
  <si>
    <t>ATIVO PERMANENTE</t>
  </si>
  <si>
    <t xml:space="preserve"> 1.3.1</t>
  </si>
  <si>
    <t xml:space="preserve"> 1.3.1.01</t>
  </si>
  <si>
    <t>PARTICIPAÇÕES EM OUTRAS EMPRESAS</t>
  </si>
  <si>
    <t xml:space="preserve"> 1.3.1.01.001</t>
  </si>
  <si>
    <t>BANCO DO ESTADO DE ALAGOAS S/A</t>
  </si>
  <si>
    <t xml:space="preserve"> 1.3.1.01.002</t>
  </si>
  <si>
    <t>CIA DESENVOLVIMENTO DE RIO LARGO</t>
  </si>
  <si>
    <t xml:space="preserve"> 1.3.1.01.003</t>
  </si>
  <si>
    <t>TELECOMUNICAÇÕES DE ALAGOAS</t>
  </si>
  <si>
    <t xml:space="preserve"> 1.3.1.01.004</t>
  </si>
  <si>
    <t>CONSÓRCIO B. ADM DE ENGENHARIA</t>
  </si>
  <si>
    <t xml:space="preserve"> 1.3.1.01.005</t>
  </si>
  <si>
    <t>FIVES LILLES IND. DO NORDESTE S/A</t>
  </si>
  <si>
    <t xml:space="preserve"> 1.3.1.01.006</t>
  </si>
  <si>
    <t>PRODUTOS ALIMENTÍCIO BRANDINI</t>
  </si>
  <si>
    <t xml:space="preserve"> 1.3.1.01.007</t>
  </si>
  <si>
    <t>SALGEMA IND. QUÍMICA S/A</t>
  </si>
  <si>
    <t xml:space="preserve"> 1.3.1.01.008</t>
  </si>
  <si>
    <t>CIA MERCANTIL AL-COMESA</t>
  </si>
  <si>
    <t xml:space="preserve"> 1.3.1.01.009</t>
  </si>
  <si>
    <t>EMBRAER</t>
  </si>
  <si>
    <t xml:space="preserve"> 1.3.1.01.010</t>
  </si>
  <si>
    <t>FINOR</t>
  </si>
  <si>
    <t xml:space="preserve"> 1.3.1.01.011</t>
  </si>
  <si>
    <t>COPERTRADING C/ EXPORTAÇÃO</t>
  </si>
  <si>
    <t xml:space="preserve"> 1.3.1.01.012</t>
  </si>
  <si>
    <t>BANDEIRANTES PARTICIPAÇÕES ADM</t>
  </si>
  <si>
    <t xml:space="preserve"> 1.3.1.01.013</t>
  </si>
  <si>
    <t>MECÂNICA PESADA CONTINENTAL</t>
  </si>
  <si>
    <t xml:space="preserve"> 1.3.1.01.014</t>
  </si>
  <si>
    <t>EMPRESA ALAGOANA DE TERMINAIS LTDA</t>
  </si>
  <si>
    <t xml:space="preserve"> 1.3.1.01.020</t>
  </si>
  <si>
    <t>ARARUAMA EMPREENDIMENTOS</t>
  </si>
  <si>
    <t xml:space="preserve"> 1.3.1.01.021</t>
  </si>
  <si>
    <t>EQUIVALÊNCIA PATRIMONIAL</t>
  </si>
  <si>
    <t xml:space="preserve"> 1.3.1.01.022</t>
  </si>
  <si>
    <t>ADIANTAMENTO P/ FUTURO AUMENTO DE CAPITAL</t>
  </si>
  <si>
    <t xml:space="preserve"> 1.3.1.02</t>
  </si>
  <si>
    <t>PARTICIP. EM OUTRAS EMPRESAS - AJUSTE IPC/BTNF/90</t>
  </si>
  <si>
    <t xml:space="preserve"> 1.3.1.02.001</t>
  </si>
  <si>
    <t xml:space="preserve"> 1.3.1.02.002</t>
  </si>
  <si>
    <t xml:space="preserve"> 1.3.1.02.003</t>
  </si>
  <si>
    <t xml:space="preserve"> 1.3.1.02.004</t>
  </si>
  <si>
    <t xml:space="preserve"> 1.3.1.02.005</t>
  </si>
  <si>
    <t xml:space="preserve"> 1.3.1.02.006</t>
  </si>
  <si>
    <t xml:space="preserve"> 1.3.1.02.007</t>
  </si>
  <si>
    <t xml:space="preserve"> 1.3.1.02.008</t>
  </si>
  <si>
    <t xml:space="preserve"> 1.3.1.02.009</t>
  </si>
  <si>
    <t xml:space="preserve"> 1.3.1.02.010</t>
  </si>
  <si>
    <t xml:space="preserve"> 1.3.1.02.011</t>
  </si>
  <si>
    <t xml:space="preserve"> 1.3.1.02.012</t>
  </si>
  <si>
    <t xml:space="preserve"> 1.3.1.02.013</t>
  </si>
  <si>
    <t xml:space="preserve"> 1.3.1.02.014</t>
  </si>
  <si>
    <t xml:space="preserve"> 1.3.2</t>
  </si>
  <si>
    <t>IMOBILIZADO</t>
  </si>
  <si>
    <t xml:space="preserve"> 1.3.2.01</t>
  </si>
  <si>
    <t>IMÓVEIS</t>
  </si>
  <si>
    <t xml:space="preserve"> 1.3.2.01.001</t>
  </si>
  <si>
    <t>TERRENOS E PROPRIEDADES</t>
  </si>
  <si>
    <t xml:space="preserve"> 1.3.2.01.008</t>
  </si>
  <si>
    <t>EDIFÍCIOS E CONSTRUÇÕES</t>
  </si>
  <si>
    <t xml:space="preserve"> 1.3.2.01.090</t>
  </si>
  <si>
    <t>ADIANTAMENTOS A FORN. DE BENS DO ATIVO IMOBILIZADO</t>
  </si>
  <si>
    <t xml:space="preserve"> 1.3.2.02</t>
  </si>
  <si>
    <t>MÁQUINAS E EQUIPAMENTOS DE OPERAÇÃO</t>
  </si>
  <si>
    <t xml:space="preserve"> 1.3.2.02.001</t>
  </si>
  <si>
    <t>MÁQUINAS E EQUIPAMENTOS INDUSTRIAIS</t>
  </si>
  <si>
    <t xml:space="preserve"> 1.3.2.02.002</t>
  </si>
  <si>
    <t>MÁQUINAS E IMPLEMENTOS AGRÍCOLAS</t>
  </si>
  <si>
    <t xml:space="preserve"> 1.3.2.02.003</t>
  </si>
  <si>
    <t>INSTRUM. FERRAM. E APETRECHOS</t>
  </si>
  <si>
    <t xml:space="preserve"> 1.3.2.02.004</t>
  </si>
  <si>
    <t>SISTEMAS DE IRRIGAÇÃO</t>
  </si>
  <si>
    <t xml:space="preserve"> 1.3.2.03</t>
  </si>
  <si>
    <t>INFRA-ESTRUTURA</t>
  </si>
  <si>
    <t xml:space="preserve"> 1.3.2.03.001</t>
  </si>
  <si>
    <t>INSTALAÇÕES ELETRICAS E TELEFONICAS</t>
  </si>
  <si>
    <t xml:space="preserve"> 1.3.2.04</t>
  </si>
  <si>
    <t>VEÍCULOS</t>
  </si>
  <si>
    <t xml:space="preserve"> 1.3.2.04.001</t>
  </si>
  <si>
    <t>VEÍCULOS E IMPLEMENTOS RODOVIARIOS</t>
  </si>
  <si>
    <t xml:space="preserve"> 1.3.2.05</t>
  </si>
  <si>
    <t>MÓVEIS E UTENSÍLIOS</t>
  </si>
  <si>
    <t xml:space="preserve"> 1.3.2.05.001</t>
  </si>
  <si>
    <t>INSTRUMENTOS P/LABORATORIOS</t>
  </si>
  <si>
    <t xml:space="preserve"> 1.3.2.05.002</t>
  </si>
  <si>
    <t>MÓVEIS, UTENSÍLIOS E APARELHOS DE ESCRITÓRIO</t>
  </si>
  <si>
    <t xml:space="preserve"> 1.3.2.05.007</t>
  </si>
  <si>
    <t>COMPUTADORES E PERIFERICOS</t>
  </si>
  <si>
    <t xml:space="preserve"> 1.3.2.05.008</t>
  </si>
  <si>
    <t>APARELHOS TELEFÔNICOS</t>
  </si>
  <si>
    <t xml:space="preserve"> 1.3.2.06</t>
  </si>
  <si>
    <t>OUTRAS IMOBILIZAÇÕES</t>
  </si>
  <si>
    <t xml:space="preserve"> 1.3.2.06.008</t>
  </si>
  <si>
    <t>CONSTRUÇÕES EM ANDAMENTO</t>
  </si>
  <si>
    <t xml:space="preserve"> 1.3.2.06.009</t>
  </si>
  <si>
    <t>AQUISIÇÃO DE BENS ATRAVÉS DE CONSÓRCIO</t>
  </si>
  <si>
    <t xml:space="preserve"> 1.3.2.06.010</t>
  </si>
  <si>
    <t>CONSTRUÇÕES EM ANDAMENTO - INDUSTRIA</t>
  </si>
  <si>
    <t xml:space="preserve"> 1.3.2.07</t>
  </si>
  <si>
    <t>LAVOURAS DE CANA - PLANTIO</t>
  </si>
  <si>
    <t xml:space="preserve"> 1.3.2.07.019</t>
  </si>
  <si>
    <t>SAFRA 2019/2020</t>
  </si>
  <si>
    <t xml:space="preserve"> 1.3.2.07.020</t>
  </si>
  <si>
    <t>SAFRA 2020/2021</t>
  </si>
  <si>
    <t xml:space="preserve"> 1.3.2.07.021</t>
  </si>
  <si>
    <t>SAFRA 2021/2022</t>
  </si>
  <si>
    <t xml:space="preserve"> 1.3.2.07.022</t>
  </si>
  <si>
    <t>SAFRA 2022/2023</t>
  </si>
  <si>
    <t xml:space="preserve"> 1.3.2.07.023</t>
  </si>
  <si>
    <t>SAFRA 2023/2024</t>
  </si>
  <si>
    <t xml:space="preserve"> 1.3.2.07.024</t>
  </si>
  <si>
    <t>SAFRA 2024/2025</t>
  </si>
  <si>
    <t xml:space="preserve"> 1.3.2.07.025</t>
  </si>
  <si>
    <t>SAFRA 2025/2026</t>
  </si>
  <si>
    <t xml:space="preserve"> 1.3.2.08</t>
  </si>
  <si>
    <t>( - ) DEPRECIAÇÕES ACUMULADAS</t>
  </si>
  <si>
    <t xml:space="preserve"> 1.3.2.08.001</t>
  </si>
  <si>
    <t>DEPRECIAÇÕES</t>
  </si>
  <si>
    <t xml:space="preserve"> 1.3.2.08.021</t>
  </si>
  <si>
    <t>DEPRECIAÇÃO DA LAVOURA (SAFRA 2019/2020)</t>
  </si>
  <si>
    <t xml:space="preserve"> 1.3.2.08.022</t>
  </si>
  <si>
    <t>DEPRECIAÇÃO DA LAVOURA (SAFRA 2020/2021)</t>
  </si>
  <si>
    <t xml:space="preserve"> 1.3.2.08.023</t>
  </si>
  <si>
    <t>DEPRECIAÇÃO DA LAVOURA (SAFRA 2021/2022</t>
  </si>
  <si>
    <t xml:space="preserve"> 1.3.2.08.024</t>
  </si>
  <si>
    <t>DEPRECIAÇÃO DA LAVOURA (SAFRA 2022/2023)</t>
  </si>
  <si>
    <t xml:space="preserve"> 1.3.2.08.025</t>
  </si>
  <si>
    <t>DEPRECIAÇÃO DA LAVOURA (SAFRA 2023/2024)</t>
  </si>
  <si>
    <t xml:space="preserve"> 1.3.2.08.090</t>
  </si>
  <si>
    <t>AJUSTE DEPRECIAÇÃO SOC-FISCAL</t>
  </si>
  <si>
    <t xml:space="preserve"> 2</t>
  </si>
  <si>
    <t>PASSIVO</t>
  </si>
  <si>
    <t xml:space="preserve"> 2.1</t>
  </si>
  <si>
    <t>PASSIVO CIRCULANTE</t>
  </si>
  <si>
    <t xml:space="preserve"> 2.1.1</t>
  </si>
  <si>
    <t>OBRIGAÇÕES A PAGAR</t>
  </si>
  <si>
    <t xml:space="preserve"> 2.1.1.01</t>
  </si>
  <si>
    <t>FORNECEDORES DIVERSOS</t>
  </si>
  <si>
    <t xml:space="preserve"> 2.1.1.01.001</t>
  </si>
  <si>
    <t>FORNECEDORES DE MATERIAIS E SERVIÇOS</t>
  </si>
  <si>
    <t xml:space="preserve"> 2.1.1.01.002</t>
  </si>
  <si>
    <t>FORNECEDORES DE FERTILIZANTES E HERBICIDAS</t>
  </si>
  <si>
    <t xml:space="preserve"> 2.1.1.01.003</t>
  </si>
  <si>
    <t>FORNECEDORES DE SERVIÇOS DE TRANSPORTES</t>
  </si>
  <si>
    <t xml:space="preserve"> 2.1.1.01.004</t>
  </si>
  <si>
    <t>FORNECEDORES DE CANA-DE-AÇÚCAR</t>
  </si>
  <si>
    <t xml:space="preserve"> 2.1.1.01.005</t>
  </si>
  <si>
    <t xml:space="preserve">FORNECEDORES - PARC. IMOBILIZADO </t>
  </si>
  <si>
    <t xml:space="preserve"> 2.1.2</t>
  </si>
  <si>
    <t>OUTRAS OBRIGAÇÕES</t>
  </si>
  <si>
    <t xml:space="preserve"> 2.1.2.02</t>
  </si>
  <si>
    <t>EMPRÉSTIMOS E FINANCIAMENTOS</t>
  </si>
  <si>
    <t xml:space="preserve"> 2.1.2.02.050</t>
  </si>
  <si>
    <t>EMPRESTIMOS / FINANCIAMENTOS</t>
  </si>
  <si>
    <t xml:space="preserve"> 2.1.2.02.999</t>
  </si>
  <si>
    <t xml:space="preserve">(-) JUROS A APROPRIAR </t>
  </si>
  <si>
    <t xml:space="preserve"> 2.1.2.03</t>
  </si>
  <si>
    <t>SALÁRIOS A PAGAR</t>
  </si>
  <si>
    <t xml:space="preserve"> 2.1.2.03.003</t>
  </si>
  <si>
    <t>DIRETORIA / CONSELHO</t>
  </si>
  <si>
    <t xml:space="preserve"> 2.1.2.03.008</t>
  </si>
  <si>
    <t>LÍQUIDO DE RESCISÕES - RURAL</t>
  </si>
  <si>
    <t xml:space="preserve"> 2.1.2.03.010</t>
  </si>
  <si>
    <t>LÍQUIDO DE RESCISÕES - URBANA</t>
  </si>
  <si>
    <t xml:space="preserve"> 2.1.2.03.013</t>
  </si>
  <si>
    <t>PENSÃO ALIMENTÍCIA</t>
  </si>
  <si>
    <t xml:space="preserve"> 2.1.2.03.015</t>
  </si>
  <si>
    <t>LIQUIDO DE FOLHA - URBANA</t>
  </si>
  <si>
    <t xml:space="preserve"> 2.1.2.03.016</t>
  </si>
  <si>
    <t>LIQUIDO DE FOLHA - RURAL</t>
  </si>
  <si>
    <t xml:space="preserve"> 2.1.2.04</t>
  </si>
  <si>
    <t>IMPOSTOS TAXAS E CONTRIBUIÇÕES A RECOLHER</t>
  </si>
  <si>
    <t xml:space="preserve"> 2.1.2.04.001</t>
  </si>
  <si>
    <t>INSS</t>
  </si>
  <si>
    <t xml:space="preserve"> 2.1.2.04.002</t>
  </si>
  <si>
    <t>FGTS</t>
  </si>
  <si>
    <t xml:space="preserve"> 2.1.2.04.003</t>
  </si>
  <si>
    <t>SINDICATO DOS TRAB. IND. DO AÇÚCAR</t>
  </si>
  <si>
    <t xml:space="preserve"> 2.1.2.04.004</t>
  </si>
  <si>
    <t>SINDICATO DOS TRAB. LAVOURA DE ALAGOAS</t>
  </si>
  <si>
    <t xml:space="preserve"> 2.1.2.04.008</t>
  </si>
  <si>
    <t>INSS S/ SERVIÇOS PRESTADOS</t>
  </si>
  <si>
    <t xml:space="preserve"> 2.1.2.04.010</t>
  </si>
  <si>
    <t>PIS/COFINS/CSLL RETIDO NA FONTE</t>
  </si>
  <si>
    <t xml:space="preserve"> 2.1.2.04.012</t>
  </si>
  <si>
    <t>FETAR</t>
  </si>
  <si>
    <t xml:space="preserve"> 2.1.2.04.029</t>
  </si>
  <si>
    <t>PROCESSOS PARC. EXTINTOS IBAMA</t>
  </si>
  <si>
    <t xml:space="preserve"> 2.1.2.04.031</t>
  </si>
  <si>
    <t>FECOEP</t>
  </si>
  <si>
    <t xml:space="preserve"> 2.1.2.04.032</t>
  </si>
  <si>
    <t>INSS S/CANA</t>
  </si>
  <si>
    <t xml:space="preserve"> 2.1.2.04.033</t>
  </si>
  <si>
    <t>INSS S/SERVIÇOS PRESTADOS PF</t>
  </si>
  <si>
    <t xml:space="preserve"> 2.1.2.05</t>
  </si>
  <si>
    <t>ENCARGOS TRIBUTÁRIOS</t>
  </si>
  <si>
    <t xml:space="preserve"> 2.1.2.05.001</t>
  </si>
  <si>
    <t>I.R.R.F. - P. JURÍDICA</t>
  </si>
  <si>
    <t xml:space="preserve"> 2.1.2.05.002</t>
  </si>
  <si>
    <t>I.R.R.F. - ARRENDAMENTO</t>
  </si>
  <si>
    <t xml:space="preserve"> 2.1.2.05.003</t>
  </si>
  <si>
    <t>I.R.R.F. - P. FISICA</t>
  </si>
  <si>
    <t xml:space="preserve"> 2.1.2.05.004</t>
  </si>
  <si>
    <t>IPI A RECOLHER</t>
  </si>
  <si>
    <t xml:space="preserve"> 2.1.2.05.005</t>
  </si>
  <si>
    <t>ICMS A RECOLHER</t>
  </si>
  <si>
    <t xml:space="preserve"> 2.1.2.05.006</t>
  </si>
  <si>
    <t>PIS A RECOLHER</t>
  </si>
  <si>
    <t xml:space="preserve"> 2.1.2.05.009</t>
  </si>
  <si>
    <t>ISS A RECOLHER</t>
  </si>
  <si>
    <t xml:space="preserve"> 2.1.2.05.012</t>
  </si>
  <si>
    <t>COFINS A RECOLHER</t>
  </si>
  <si>
    <t xml:space="preserve"> 2.1.2.05.016</t>
  </si>
  <si>
    <t>I.R.R.F. S/ FOLHA DE PAGAMENTO</t>
  </si>
  <si>
    <t xml:space="preserve"> 2.1.2.06</t>
  </si>
  <si>
    <t>PROVISÕES</t>
  </si>
  <si>
    <t xml:space="preserve"> 2.1.2.06.001</t>
  </si>
  <si>
    <t>PROVISÃO DE FÉRIAS</t>
  </si>
  <si>
    <t xml:space="preserve"> 2.1.2.06.004</t>
  </si>
  <si>
    <t>PROVISÃO PARA 13º SALÁRIO</t>
  </si>
  <si>
    <t xml:space="preserve"> 2.1.2.06.007</t>
  </si>
  <si>
    <t>INSS S/ FÉRIAS</t>
  </si>
  <si>
    <t xml:space="preserve"> 2.1.2.06.008</t>
  </si>
  <si>
    <t>INSS S/ 13 SALÁRIO</t>
  </si>
  <si>
    <t xml:space="preserve"> 2.1.2.06.009</t>
  </si>
  <si>
    <t>FGTS S/ FÉRIAS</t>
  </si>
  <si>
    <t xml:space="preserve"> 2.1.2.06.010</t>
  </si>
  <si>
    <t>FGTS S/ 13 SALÁRIO</t>
  </si>
  <si>
    <t xml:space="preserve"> 2.1.2.08</t>
  </si>
  <si>
    <t>EMPRÉSTIMOS DE MERCADORIAS</t>
  </si>
  <si>
    <t xml:space="preserve"> 2.1.2.08.001</t>
  </si>
  <si>
    <t>EMPRÉSTIMOS DE FORNECEDORES</t>
  </si>
  <si>
    <t xml:space="preserve"> 2.1.2.09</t>
  </si>
  <si>
    <t>CREDORES DIVERSOS</t>
  </si>
  <si>
    <t xml:space="preserve"> 2.1.2.09.005</t>
  </si>
  <si>
    <t>ASPLANA</t>
  </si>
  <si>
    <t xml:space="preserve"> 2.1.2.09.009</t>
  </si>
  <si>
    <t>ARRENDAMENTOS</t>
  </si>
  <si>
    <t xml:space="preserve"> 2.1.2.09.010</t>
  </si>
  <si>
    <t>USINA SANTA MARIA S/A</t>
  </si>
  <si>
    <t xml:space="preserve"> 2.1.2.10</t>
  </si>
  <si>
    <t>PARCELAMENTOS FISCAIS</t>
  </si>
  <si>
    <t xml:space="preserve"> 2.1.2.10.004</t>
  </si>
  <si>
    <t>LEI 11.941/09-PGFN-PREV.(ANTER. PARC.)-1165</t>
  </si>
  <si>
    <t xml:space="preserve"> 2.1.2.10.007</t>
  </si>
  <si>
    <t>LEI 11.941/09-PGFN-DEM. DEB.(NÃO PARC.ANTER)-1194</t>
  </si>
  <si>
    <t xml:space="preserve"> 2.1.2.10.023</t>
  </si>
  <si>
    <t>REABERTURA-L 11941/09-PGFN-DEMAIS DEB-PARC DIV NÃO</t>
  </si>
  <si>
    <t xml:space="preserve"> 2.1.2.10.030</t>
  </si>
  <si>
    <t>PARCELAMENTO DO ICMS</t>
  </si>
  <si>
    <t xml:space="preserve"> 2.1.2.10.035</t>
  </si>
  <si>
    <t>PARCELAMENTO SIMPLIFICADO - CP TERCEIROS</t>
  </si>
  <si>
    <t xml:space="preserve"> 2.1.2.10.038</t>
  </si>
  <si>
    <t>PARCELAMENTO SIMPLIFICADO - ITR</t>
  </si>
  <si>
    <t xml:space="preserve"> 2.1.2.10.039</t>
  </si>
  <si>
    <t>PARCELAMENTO PREV TRANS PGFN</t>
  </si>
  <si>
    <t xml:space="preserve"> 2.1.2.10.040</t>
  </si>
  <si>
    <t>PARCELAMENTO Ñ PREV TRANS PGFN</t>
  </si>
  <si>
    <t xml:space="preserve"> 2.1.2.10.041</t>
  </si>
  <si>
    <t>PARCELAMENTO ISS</t>
  </si>
  <si>
    <t xml:space="preserve"> 2.1.2.10.042</t>
  </si>
  <si>
    <t>PARCELAMENTO CONTRIBUIÇÃO SOCIAL</t>
  </si>
  <si>
    <t xml:space="preserve"> 2.1.2.10.043</t>
  </si>
  <si>
    <t>PARCELAMENTO TRANS RFB</t>
  </si>
  <si>
    <t xml:space="preserve"> 2.1.2.10.047</t>
  </si>
  <si>
    <t>PARCELAMENTO SIMPLIFICADO RFB</t>
  </si>
  <si>
    <t xml:space="preserve"> 2.1.2.10.048</t>
  </si>
  <si>
    <t>PARCELAMENTO SIMPLIFICADO PGFN</t>
  </si>
  <si>
    <t xml:space="preserve"> 2.1.2.10.049</t>
  </si>
  <si>
    <t>PARCELAMENTO IBAMA</t>
  </si>
  <si>
    <t xml:space="preserve"> 2.1.2.13</t>
  </si>
  <si>
    <t>ADIANTAMENTO DE CLIENTES</t>
  </si>
  <si>
    <t xml:space="preserve"> 2.1.2.13.001</t>
  </si>
  <si>
    <t xml:space="preserve"> 2.1.2.15</t>
  </si>
  <si>
    <t>CONTRATOS DE MUTUO / EMPRESTIMO</t>
  </si>
  <si>
    <t xml:space="preserve"> 2.1.2.15.002</t>
  </si>
  <si>
    <t>RAIZEN COMBUSTIVEIS S A</t>
  </si>
  <si>
    <t xml:space="preserve"> 2.1.2.15.004</t>
  </si>
  <si>
    <t>ACL NP FUNDO DE INVESTIMENTO</t>
  </si>
  <si>
    <t xml:space="preserve"> 2.1.2.15.999</t>
  </si>
  <si>
    <t>( - ) JUROS A APROPRIAR</t>
  </si>
  <si>
    <t xml:space="preserve"> 2.2</t>
  </si>
  <si>
    <t>PASSIVO NÃO CIRCULANTE</t>
  </si>
  <si>
    <t xml:space="preserve"> 2.2.1</t>
  </si>
  <si>
    <t xml:space="preserve"> 2.2.1.01</t>
  </si>
  <si>
    <t xml:space="preserve"> 2.2.1.01.007</t>
  </si>
  <si>
    <t>EMPRESTIMOS / FINANCIAMENTO</t>
  </si>
  <si>
    <t xml:space="preserve"> 2.2.1.01.999</t>
  </si>
  <si>
    <t xml:space="preserve"> 2.2.1.02</t>
  </si>
  <si>
    <t xml:space="preserve"> 2.2.1.02.012</t>
  </si>
  <si>
    <t>LEI 11.941/09 - HONORÁRIOS ADVOCATÍCIOS COD 1165</t>
  </si>
  <si>
    <t xml:space="preserve"> 2.2.1.02.016</t>
  </si>
  <si>
    <t>REABERTURA -L 11941/09-PGFN-DEMAIS BEDITOS</t>
  </si>
  <si>
    <t xml:space="preserve"> 2.2.1.02.020</t>
  </si>
  <si>
    <t>PARCELAMENTO ICMS</t>
  </si>
  <si>
    <t xml:space="preserve"> 2.2.1.02.035</t>
  </si>
  <si>
    <t xml:space="preserve"> 2.2.1.02.041</t>
  </si>
  <si>
    <t xml:space="preserve"> 2.2.1.02.042</t>
  </si>
  <si>
    <t xml:space="preserve"> 2.2.1.02.043</t>
  </si>
  <si>
    <t xml:space="preserve"> 2.2.1.02.046</t>
  </si>
  <si>
    <t xml:space="preserve"> 2.2.1.02.047</t>
  </si>
  <si>
    <t xml:space="preserve"> 2.2.1.02.049</t>
  </si>
  <si>
    <t xml:space="preserve"> 2.2.1.03</t>
  </si>
  <si>
    <t>OUTROS VALORES A RECEBER</t>
  </si>
  <si>
    <t xml:space="preserve"> 2.2.1.03.003</t>
  </si>
  <si>
    <t>MUNDAÚ AGROPECUÁRIA</t>
  </si>
  <si>
    <t xml:space="preserve"> 2.2.1.11</t>
  </si>
  <si>
    <t>CONTRATO DE MUTUO / EMPRESTIMO</t>
  </si>
  <si>
    <t xml:space="preserve"> 2.2.1.11.001</t>
  </si>
  <si>
    <t xml:space="preserve"> 2.2.9</t>
  </si>
  <si>
    <t>CREDORES RECUPERAÇÃO JUDICIAL</t>
  </si>
  <si>
    <t xml:space="preserve"> 2.2.9.01</t>
  </si>
  <si>
    <t>CLASSE I - CREDORES TRABALHISTAS</t>
  </si>
  <si>
    <t xml:space="preserve"> 2.2.9.01.001</t>
  </si>
  <si>
    <t xml:space="preserve"> 2.2.9.02</t>
  </si>
  <si>
    <t>CLASSE II - CREDORES COM GARANTIA REAL</t>
  </si>
  <si>
    <t xml:space="preserve"> 2.2.9.02.001</t>
  </si>
  <si>
    <t xml:space="preserve"> 2.2.9.03</t>
  </si>
  <si>
    <t>CLASSE III - CREDORES QUIROGRAFARIOS</t>
  </si>
  <si>
    <t xml:space="preserve"> 2.2.9.03.001</t>
  </si>
  <si>
    <t xml:space="preserve"> 2.2.9.04</t>
  </si>
  <si>
    <t>CLASSE IV - CREDORES ENQUADRADOS ME/EPP</t>
  </si>
  <si>
    <t xml:space="preserve"> 2.2.9.04.001</t>
  </si>
  <si>
    <t xml:space="preserve">CLASSE IV - CREDORES ENQUADRADOS ME/EPP </t>
  </si>
  <si>
    <t xml:space="preserve"> 2.4</t>
  </si>
  <si>
    <t>PATRIMÔNIO LÍQUIDO</t>
  </si>
  <si>
    <t xml:space="preserve"> 2.4.1</t>
  </si>
  <si>
    <t xml:space="preserve"> 2.4.1.01</t>
  </si>
  <si>
    <t>CAPITAL SOCIAL</t>
  </si>
  <si>
    <t xml:space="preserve"> 2.4.1.01.001</t>
  </si>
  <si>
    <t>CAPITAL REALIZADO</t>
  </si>
  <si>
    <t xml:space="preserve"> 2.4.1.04</t>
  </si>
  <si>
    <t>RESERVAS DE LUCRO</t>
  </si>
  <si>
    <t xml:space="preserve"> 2.4.1.04.001</t>
  </si>
  <si>
    <t>RESERVA LEGAL</t>
  </si>
  <si>
    <t xml:space="preserve"> 2.4.1.04.003</t>
  </si>
  <si>
    <t>RESERVA DE LUCROS A REALIZAR</t>
  </si>
  <si>
    <t xml:space="preserve"> 2.4.1.04.004</t>
  </si>
  <si>
    <t>RESERVA DE LUCROS RETIDO</t>
  </si>
  <si>
    <t xml:space="preserve"> 3</t>
  </si>
  <si>
    <t>RESULTADO DO EXERCÍCIO</t>
  </si>
  <si>
    <t xml:space="preserve"> 3.1</t>
  </si>
  <si>
    <t>RECEITAS BRUTA DE VENDAS</t>
  </si>
  <si>
    <t xml:space="preserve"> 3.1.1</t>
  </si>
  <si>
    <t>VENDAS DE PRODUÇÃO PRÓPRIA</t>
  </si>
  <si>
    <t xml:space="preserve"> 3.1.1.01</t>
  </si>
  <si>
    <t>VENDAS NO MERCADO INTERNO</t>
  </si>
  <si>
    <t xml:space="preserve"> 3.1.1.01.003</t>
  </si>
  <si>
    <t xml:space="preserve"> 3.1.1.01.005</t>
  </si>
  <si>
    <t xml:space="preserve"> 3.1.1.01.006</t>
  </si>
  <si>
    <t xml:space="preserve"> 3.1.1.02</t>
  </si>
  <si>
    <t>VENDAS NO MERCADO EXTERNO</t>
  </si>
  <si>
    <t xml:space="preserve"> 3.1.1.02.007</t>
  </si>
  <si>
    <t xml:space="preserve"> 3.1.1.03</t>
  </si>
  <si>
    <t>VENDA DE SUB-PRODUTO</t>
  </si>
  <si>
    <t xml:space="preserve"> 3.1.1.03.001</t>
  </si>
  <si>
    <t>BAGAÇO</t>
  </si>
  <si>
    <t xml:space="preserve"> 3.1.1.03.002</t>
  </si>
  <si>
    <t>ÓLEO FUSEL</t>
  </si>
  <si>
    <t xml:space="preserve"> 3.1.1.04</t>
  </si>
  <si>
    <t>VENDA DE PRODUTOS AGRÍCOLAS</t>
  </si>
  <si>
    <t xml:space="preserve"> 3.1.1.04.001</t>
  </si>
  <si>
    <t>CANA DE AÇUCAR</t>
  </si>
  <si>
    <t xml:space="preserve"> 3.1.1.05</t>
  </si>
  <si>
    <t>OUTRAS RECEITAS COM VENDAS DE MERCADORIAS</t>
  </si>
  <si>
    <t xml:space="preserve"> 3.1.1.05.001</t>
  </si>
  <si>
    <t>VENDA DE SUCATA</t>
  </si>
  <si>
    <t xml:space="preserve"> 3.2</t>
  </si>
  <si>
    <t>DEDUÇÕES DE CUSTOS E DESP.OPERACIONAIS</t>
  </si>
  <si>
    <t xml:space="preserve"> 3.2.1</t>
  </si>
  <si>
    <t>DEDUÇÕES DIVERSAS</t>
  </si>
  <si>
    <t xml:space="preserve"> 3.2.1.01</t>
  </si>
  <si>
    <t>IMPOSTOS INCIDENTES SOBRE AS VENDAS DE PRODUTOS</t>
  </si>
  <si>
    <t xml:space="preserve"> 3.2.1.01.001</t>
  </si>
  <si>
    <t xml:space="preserve"> 3.2.1.01.002</t>
  </si>
  <si>
    <t xml:space="preserve"> 3.2.1.01.003</t>
  </si>
  <si>
    <t>PIS S/FATURAMENTO</t>
  </si>
  <si>
    <t xml:space="preserve"> 3.2.1.01.004</t>
  </si>
  <si>
    <t>COFINS S/FATURAMENTO</t>
  </si>
  <si>
    <t xml:space="preserve"> 3.2.1.01.005</t>
  </si>
  <si>
    <t>INSS S/FATURAMENTO</t>
  </si>
  <si>
    <t xml:space="preserve"> 3.2.1.01.006</t>
  </si>
  <si>
    <t>ICMS ST</t>
  </si>
  <si>
    <t xml:space="preserve"> 3.2.1.03</t>
  </si>
  <si>
    <t>IMPOSTOS INCIDENTES SOBRE AS DEMAIS VENDAS</t>
  </si>
  <si>
    <t xml:space="preserve"> 3.2.1.03.001</t>
  </si>
  <si>
    <t xml:space="preserve"> 3.2.1.03.003</t>
  </si>
  <si>
    <t>PIS S/ FATURAMENTO</t>
  </si>
  <si>
    <t xml:space="preserve"> 3.2.1.03.004</t>
  </si>
  <si>
    <t>COFINS S/ FATURAMENTO</t>
  </si>
  <si>
    <t xml:space="preserve"> 3.2.2</t>
  </si>
  <si>
    <t>CUSTOS DOS PRODUTOS VENDIDOS</t>
  </si>
  <si>
    <t xml:space="preserve"> 3.2.2.01</t>
  </si>
  <si>
    <t>CUSTOS DIVERSOS</t>
  </si>
  <si>
    <t xml:space="preserve"> 3.2.2.01.001</t>
  </si>
  <si>
    <t>AÇÚCAR</t>
  </si>
  <si>
    <t xml:space="preserve"> 3.2.2.01.002</t>
  </si>
  <si>
    <t>ÁLCOOL</t>
  </si>
  <si>
    <t xml:space="preserve"> 3.2.2.01.003</t>
  </si>
  <si>
    <t xml:space="preserve"> 3.2.2.02</t>
  </si>
  <si>
    <t>CUSTO DOS PRODUTOS / MERCADORIAS VENDIDAS</t>
  </si>
  <si>
    <t xml:space="preserve"> 3.2.2.02.008</t>
  </si>
  <si>
    <t>CMV - VENDA DE AÇÚCAR VHP</t>
  </si>
  <si>
    <t xml:space="preserve"> 3.2.3</t>
  </si>
  <si>
    <t>CUSTOS E DESPESAS</t>
  </si>
  <si>
    <t xml:space="preserve"> 3.2.3.01</t>
  </si>
  <si>
    <t>CUSTEIO DE PRODUÇÃO AGRÍCOLA E INDUSTRIAL</t>
  </si>
  <si>
    <t xml:space="preserve"> 3.2.3.01.001</t>
  </si>
  <si>
    <t>ORDENADOS E SALÁRIOS</t>
  </si>
  <si>
    <t xml:space="preserve"> 3.2.3.01.002</t>
  </si>
  <si>
    <t>DÉCIMO TERCEIRO SALÁRIO</t>
  </si>
  <si>
    <t xml:space="preserve"> 3.2.3.01.003</t>
  </si>
  <si>
    <t>FÉRIAS</t>
  </si>
  <si>
    <t xml:space="preserve"> 3.2.3.01.005</t>
  </si>
  <si>
    <t xml:space="preserve"> 3.2.3.01.006</t>
  </si>
  <si>
    <t xml:space="preserve"> 3.2.3.01.009</t>
  </si>
  <si>
    <t>CONTRIBUIÇÕES A ENTIDADES DE CLASSE</t>
  </si>
  <si>
    <t xml:space="preserve"> 3.2.3.01.016</t>
  </si>
  <si>
    <t>GÊNEROS ALIMENTÍCIOS</t>
  </si>
  <si>
    <t xml:space="preserve"> 3.2.3.01.017</t>
  </si>
  <si>
    <t>UNIFORMES E FARDAMENTOS</t>
  </si>
  <si>
    <t xml:space="preserve"> 3.2.3.01.018</t>
  </si>
  <si>
    <t>TREINAMENTOS DE PESSOAL</t>
  </si>
  <si>
    <t xml:space="preserve"> 3.2.3.01.019</t>
  </si>
  <si>
    <t>DESPESAS DE VIAGENS E ESTADAS</t>
  </si>
  <si>
    <t xml:space="preserve"> 3.2.3.01.020</t>
  </si>
  <si>
    <t>DESPESAS C/LOC.DE EMPREGADOS</t>
  </si>
  <si>
    <t xml:space="preserve"> 3.2.3.01.021</t>
  </si>
  <si>
    <t>SERVIÇOS DE TERCEIROS-P.FÍSICA</t>
  </si>
  <si>
    <t xml:space="preserve"> 3.2.3.01.022</t>
  </si>
  <si>
    <t>SERVIÇOS DE TERCEIROS-P.JURÍDICA</t>
  </si>
  <si>
    <t xml:space="preserve"> 3.2.3.01.024</t>
  </si>
  <si>
    <t>FRETES E CARRETOS - P. JURÍDICA</t>
  </si>
  <si>
    <t xml:space="preserve"> 3.2.3.01.026</t>
  </si>
  <si>
    <t>MATERIAIS DE INFORMÁTICA</t>
  </si>
  <si>
    <t xml:space="preserve"> 3.2.3.01.028</t>
  </si>
  <si>
    <t>INDENIZAÇÕES TRABALHISTAS</t>
  </si>
  <si>
    <t xml:space="preserve"> 3.2.3.01.030</t>
  </si>
  <si>
    <t>ENERGIA ELÉTRICA ADQUIRIDA</t>
  </si>
  <si>
    <t xml:space="preserve"> 3.2.3.01.032</t>
  </si>
  <si>
    <t>ALUGUÉIS E ARRENDAMENTOS</t>
  </si>
  <si>
    <t xml:space="preserve"> 3.2.3.01.033</t>
  </si>
  <si>
    <t>PESQUISA E DESENVOLVIMENTO</t>
  </si>
  <si>
    <t xml:space="preserve"> 3.2.3.01.034</t>
  </si>
  <si>
    <t>IMPOSTOS, TAXAS E CONTRIBUIÇÕES</t>
  </si>
  <si>
    <t xml:space="preserve"> 3.2.3.01.038</t>
  </si>
  <si>
    <t>CUSTAS E EMOLUMENTOS</t>
  </si>
  <si>
    <t xml:space="preserve"> 3.2.3.01.044</t>
  </si>
  <si>
    <t>MATERIAL DE EXPEDIENTE</t>
  </si>
  <si>
    <t xml:space="preserve"> 3.2.3.01.045</t>
  </si>
  <si>
    <t>COMBUSTÍVEIS E LUBRIFICANTES</t>
  </si>
  <si>
    <t xml:space="preserve"> 3.2.3.01.049</t>
  </si>
  <si>
    <t>SACARIAS</t>
  </si>
  <si>
    <t xml:space="preserve"> 3.2.3.01.050</t>
  </si>
  <si>
    <t>INGREDIENTES E DROGAS DE FABRICAÇÃO</t>
  </si>
  <si>
    <t xml:space="preserve"> 3.2.3.01.051</t>
  </si>
  <si>
    <t>ADUBOS E FERTILIZANTES</t>
  </si>
  <si>
    <t xml:space="preserve"> 3.2.3.01.052</t>
  </si>
  <si>
    <t>INSETICIDAS FUNG.E HERBICIDAS</t>
  </si>
  <si>
    <t xml:space="preserve"> 3.2.3.01.055</t>
  </si>
  <si>
    <t>CANA DE FORNECEDORES</t>
  </si>
  <si>
    <t xml:space="preserve"> 3.2.3.01.056</t>
  </si>
  <si>
    <t>PEÇAS E ACESSÓRIOS</t>
  </si>
  <si>
    <t xml:space="preserve"> 3.2.3.01.057</t>
  </si>
  <si>
    <t>MATERIAL DE CONSTRUÇÃO</t>
  </si>
  <si>
    <t xml:space="preserve"> 3.2.3.01.060</t>
  </si>
  <si>
    <t>DEPRECIAÇÃO DE BENS</t>
  </si>
  <si>
    <t xml:space="preserve"> 3.2.3.01.061</t>
  </si>
  <si>
    <t>DEPRECIAÇÃO DE LAVOURA</t>
  </si>
  <si>
    <t xml:space="preserve"> 3.2.3.01.066</t>
  </si>
  <si>
    <t>MATERIAIS DIVERSOS</t>
  </si>
  <si>
    <t xml:space="preserve"> 3.2.3.01.070</t>
  </si>
  <si>
    <t>AMORTIZAÇÃO DE APONTAMENTOS</t>
  </si>
  <si>
    <t xml:space="preserve"> 3.2.3.01.074</t>
  </si>
  <si>
    <t>RECUPERAÇÕES ( - )</t>
  </si>
  <si>
    <t xml:space="preserve"> 3.2.3.01.076</t>
  </si>
  <si>
    <t>HORAS EXTRAS</t>
  </si>
  <si>
    <t xml:space="preserve"> 3.2.3.01.077</t>
  </si>
  <si>
    <t>ADICIONAL PERICULOSIDADE</t>
  </si>
  <si>
    <t xml:space="preserve"> 3.2.3.01.078</t>
  </si>
  <si>
    <t>ADICIONAL INSALUBRIDADE</t>
  </si>
  <si>
    <t xml:space="preserve"> 3.2.3.01.079</t>
  </si>
  <si>
    <t>LICENÇA REMUNERADA</t>
  </si>
  <si>
    <t xml:space="preserve"> 3.2.3.01.080</t>
  </si>
  <si>
    <t>AVISO PRÉVIO</t>
  </si>
  <si>
    <t xml:space="preserve"> 3.2.3.01.081</t>
  </si>
  <si>
    <t>ADICIONAL NOTURNO</t>
  </si>
  <si>
    <t xml:space="preserve"> 3.2.3.01.082</t>
  </si>
  <si>
    <t>GRATIFICAÇÃO</t>
  </si>
  <si>
    <t xml:space="preserve"> 3.2.3.01.090</t>
  </si>
  <si>
    <t>TRANSFERÊNCIA DE CUSTOS</t>
  </si>
  <si>
    <t xml:space="preserve"> 3.2.3.01.092</t>
  </si>
  <si>
    <t>CONTRIBUIÇÕES A TERCEIROS S/ FOLHA DE PAGAMENTO</t>
  </si>
  <si>
    <t xml:space="preserve"> 3.2.3.01.100</t>
  </si>
  <si>
    <t>HONORÁRIOS ADVOCATÍCIOS S/ PROCESSOS</t>
  </si>
  <si>
    <t xml:space="preserve"> 3.2.3.01.109</t>
  </si>
  <si>
    <t>BRINDES</t>
  </si>
  <si>
    <t xml:space="preserve"> 3.2.3.02</t>
  </si>
  <si>
    <t>DESPESAS COMERCIAIS</t>
  </si>
  <si>
    <t xml:space="preserve"> 3.2.3.02.001</t>
  </si>
  <si>
    <t xml:space="preserve"> 3.2.3.02.002</t>
  </si>
  <si>
    <t xml:space="preserve"> 3.2.3.02.003</t>
  </si>
  <si>
    <t xml:space="preserve"> 3.2.3.02.005</t>
  </si>
  <si>
    <t xml:space="preserve"> 3.2.3.02.006</t>
  </si>
  <si>
    <t xml:space="preserve"> 3.2.3.02.016</t>
  </si>
  <si>
    <t xml:space="preserve">GENÊROS ALIMENTÍCIOS </t>
  </si>
  <si>
    <t xml:space="preserve"> 3.2.3.02.020</t>
  </si>
  <si>
    <t xml:space="preserve"> 3.2.3.02.022</t>
  </si>
  <si>
    <t xml:space="preserve"> 3.2.3.02.024</t>
  </si>
  <si>
    <t>FRETES CARRETOS - P.JURÍDICA</t>
  </si>
  <si>
    <t xml:space="preserve"> 3.2.3.02.028</t>
  </si>
  <si>
    <t xml:space="preserve"> 3.2.3.02.044</t>
  </si>
  <si>
    <t xml:space="preserve"> 3.2.3.02.045</t>
  </si>
  <si>
    <t>COMBUSTÍVES E LUBRIFICANTES</t>
  </si>
  <si>
    <t xml:space="preserve"> 3.2.3.02.048</t>
  </si>
  <si>
    <t>CORREIOS</t>
  </si>
  <si>
    <t xml:space="preserve"> 3.2.3.02.050</t>
  </si>
  <si>
    <t xml:space="preserve"> 3.2.3.02.056</t>
  </si>
  <si>
    <t xml:space="preserve"> 3.2.3.02.060</t>
  </si>
  <si>
    <t xml:space="preserve"> 3.2.3.02.066</t>
  </si>
  <si>
    <t>MATERIAS DIVERSOS</t>
  </si>
  <si>
    <t xml:space="preserve"> 3.2.3.02.076</t>
  </si>
  <si>
    <t xml:space="preserve"> 3.2.3.02.078</t>
  </si>
  <si>
    <t xml:space="preserve"> 3.2.3.02.079</t>
  </si>
  <si>
    <t>LINCENÇA REMUNERADA</t>
  </si>
  <si>
    <t xml:space="preserve"> 3.2.3.02.080</t>
  </si>
  <si>
    <t xml:space="preserve"> 3.2.3.02.081</t>
  </si>
  <si>
    <t xml:space="preserve"> 3.2.3.02.082</t>
  </si>
  <si>
    <t xml:space="preserve"> 3.2.3.02.088</t>
  </si>
  <si>
    <t>PERDAS</t>
  </si>
  <si>
    <t xml:space="preserve"> 3.2.3.02.092</t>
  </si>
  <si>
    <t xml:space="preserve"> 3.2.3.02.106</t>
  </si>
  <si>
    <t>DESPESAS DE COMERCIALIZAÇÃO</t>
  </si>
  <si>
    <t xml:space="preserve"> 3.2.3.02.110</t>
  </si>
  <si>
    <t>MULTA CONTRATUAL</t>
  </si>
  <si>
    <t xml:space="preserve"> 3.2.3.02.111</t>
  </si>
  <si>
    <t>DESPESAS EMPAT</t>
  </si>
  <si>
    <t xml:space="preserve"> 3.2.3.03</t>
  </si>
  <si>
    <t>DESPESAS ADMINISTRATIVAS</t>
  </si>
  <si>
    <t xml:space="preserve"> 3.2.3.03.001</t>
  </si>
  <si>
    <t xml:space="preserve"> 3.2.3.03.002</t>
  </si>
  <si>
    <t xml:space="preserve"> 3.2.3.03.003</t>
  </si>
  <si>
    <t xml:space="preserve"> 3.2.3.03.004</t>
  </si>
  <si>
    <t>HONORÁRIOS DA DIRETORIA</t>
  </si>
  <si>
    <t xml:space="preserve"> 3.2.3.03.005</t>
  </si>
  <si>
    <t xml:space="preserve"> 3.2.3.03.006</t>
  </si>
  <si>
    <t xml:space="preserve"> 3.2.3.03.008</t>
  </si>
  <si>
    <t>CONTRIBUIÇÃO SINDICAL</t>
  </si>
  <si>
    <t xml:space="preserve"> 3.2.3.03.009</t>
  </si>
  <si>
    <t xml:space="preserve"> 3.2.3.03.011</t>
  </si>
  <si>
    <t>DESPESAS ASSIST. SOCIAL</t>
  </si>
  <si>
    <t xml:space="preserve"> 3.2.3.03.012</t>
  </si>
  <si>
    <t>CONFRATERNIZAÇÕES</t>
  </si>
  <si>
    <t xml:space="preserve"> 3.2.3.03.014</t>
  </si>
  <si>
    <t>MEDICAMENTOS E HOSPITALIZAÇÕES</t>
  </si>
  <si>
    <t xml:space="preserve"> 3.2.3.03.016</t>
  </si>
  <si>
    <t xml:space="preserve"> 3.2.3.03.017</t>
  </si>
  <si>
    <t xml:space="preserve"> 3.2.3.03.018</t>
  </si>
  <si>
    <t xml:space="preserve"> 3.2.3.03.019</t>
  </si>
  <si>
    <t>DESPESAS DE VIAGENS ESTADIA</t>
  </si>
  <si>
    <t xml:space="preserve"> 3.2.3.03.020</t>
  </si>
  <si>
    <t xml:space="preserve"> 3.2.3.03.021</t>
  </si>
  <si>
    <t xml:space="preserve"> 3.2.3.03.022</t>
  </si>
  <si>
    <t xml:space="preserve"> 3.2.3.03.026</t>
  </si>
  <si>
    <t xml:space="preserve"> 3.2.3.03.027</t>
  </si>
  <si>
    <t>SEGUROS CONT.ACIDENTE TRABALHO</t>
  </si>
  <si>
    <t xml:space="preserve"> 3.2.3.03.028</t>
  </si>
  <si>
    <t xml:space="preserve"> 3.2.3.03.030</t>
  </si>
  <si>
    <t xml:space="preserve"> 3.2.3.03.032</t>
  </si>
  <si>
    <t xml:space="preserve"> 3.2.3.03.033</t>
  </si>
  <si>
    <t xml:space="preserve"> 3.2.3.03.034</t>
  </si>
  <si>
    <t xml:space="preserve"> 3.2.3.03.035</t>
  </si>
  <si>
    <t>IOF</t>
  </si>
  <si>
    <t xml:space="preserve"> 3.2.3.03.037</t>
  </si>
  <si>
    <t>DESPESAS BANCÁRIAS</t>
  </si>
  <si>
    <t xml:space="preserve"> 3.2.3.03.038</t>
  </si>
  <si>
    <t xml:space="preserve"> 3.2.3.03.039</t>
  </si>
  <si>
    <t>MULTAS DEDUTIVEIS</t>
  </si>
  <si>
    <t xml:space="preserve"> 3.2.3.03.041</t>
  </si>
  <si>
    <t>PUBLICAÇÕES LEGAIS</t>
  </si>
  <si>
    <t xml:space="preserve"> 3.2.3.03.044</t>
  </si>
  <si>
    <t xml:space="preserve"> 3.2.3.03.045</t>
  </si>
  <si>
    <t xml:space="preserve"> 3.2.3.03.047</t>
  </si>
  <si>
    <t>TELEFÔNICAS/INTERNET</t>
  </si>
  <si>
    <t xml:space="preserve"> 3.2.3.03.048</t>
  </si>
  <si>
    <t xml:space="preserve"> 3.2.3.03.056</t>
  </si>
  <si>
    <t xml:space="preserve"> 3.2.3.03.057</t>
  </si>
  <si>
    <t xml:space="preserve"> 3.2.3.03.060</t>
  </si>
  <si>
    <t xml:space="preserve"> 3.2.3.03.062</t>
  </si>
  <si>
    <t>INDENIZAÇÕES DIVERSAS - P. FÍSICAS</t>
  </si>
  <si>
    <t xml:space="preserve"> 3.2.3.03.066</t>
  </si>
  <si>
    <t xml:space="preserve"> 3.2.3.03.068</t>
  </si>
  <si>
    <t>DESPESAS INDEDUTÍVEIS</t>
  </si>
  <si>
    <t xml:space="preserve"> 3.2.3.03.074</t>
  </si>
  <si>
    <t xml:space="preserve"> 3.2.3.03.076</t>
  </si>
  <si>
    <t xml:space="preserve"> 3.2.3.03.077</t>
  </si>
  <si>
    <t xml:space="preserve"> 3.2.3.03.078</t>
  </si>
  <si>
    <t xml:space="preserve"> 3.2.3.03.079</t>
  </si>
  <si>
    <t xml:space="preserve"> 3.2.3.03.080</t>
  </si>
  <si>
    <t xml:space="preserve"> 3.2.3.03.081</t>
  </si>
  <si>
    <t xml:space="preserve"> 3.2.3.03.082</t>
  </si>
  <si>
    <t xml:space="preserve"> 3.2.3.03.083</t>
  </si>
  <si>
    <t>DOAÇÃO</t>
  </si>
  <si>
    <t xml:space="preserve"> 3.2.3.03.084</t>
  </si>
  <si>
    <t>MULTAS INDEDUTIVEIS</t>
  </si>
  <si>
    <t xml:space="preserve"> 3.2.3.03.090</t>
  </si>
  <si>
    <t>TRANSFERÊNCIA DE CUSTO</t>
  </si>
  <si>
    <t xml:space="preserve"> 3.2.3.03.092</t>
  </si>
  <si>
    <t xml:space="preserve"> 3.2.3.03.102</t>
  </si>
  <si>
    <t>ASSISTENCIA MÉDICA</t>
  </si>
  <si>
    <t xml:space="preserve"> 3.2.3.03.109</t>
  </si>
  <si>
    <t xml:space="preserve"> 3.2.3.04</t>
  </si>
  <si>
    <t>RESULTADO FINANCEIRO LÍQUIDO</t>
  </si>
  <si>
    <t xml:space="preserve"> 3.2.3.04.003</t>
  </si>
  <si>
    <t>JUROS PASSIVOS</t>
  </si>
  <si>
    <t xml:space="preserve"> 3.2.3.04.004</t>
  </si>
  <si>
    <t>VARIAÇÃO CAMBIAL PASSIVA</t>
  </si>
  <si>
    <t xml:space="preserve"> 3.2.3.04.006</t>
  </si>
  <si>
    <t>JUROS ATIVO</t>
  </si>
  <si>
    <t xml:space="preserve"> 3.2.3.04.008</t>
  </si>
  <si>
    <t>DESCONTOS OBTIDOS</t>
  </si>
  <si>
    <t xml:space="preserve"> 3.2.3.04.009</t>
  </si>
  <si>
    <t>VARIAÇÃO CAMBIAL ATIVA</t>
  </si>
  <si>
    <t xml:space="preserve"> 3.2.3.04.010</t>
  </si>
  <si>
    <t>RENDIMENTOS DE APLICAÇÕES FINANCEIRAS</t>
  </si>
  <si>
    <t xml:space="preserve"> 3.2.3.04.013</t>
  </si>
  <si>
    <t>DESCONTOS OBTIDOS - PROC. RECUPERAÇÃO JUDICIAL</t>
  </si>
  <si>
    <t xml:space="preserve"> 3.2.3.05</t>
  </si>
  <si>
    <t>OUTRAS RECEITAS E DESP. OPERACIONAIS</t>
  </si>
  <si>
    <t xml:space="preserve"> 3.2.3.05.007</t>
  </si>
  <si>
    <t xml:space="preserve"> 3.2.3.05.008</t>
  </si>
  <si>
    <t xml:space="preserve"> 3.2.3.05.009</t>
  </si>
  <si>
    <t xml:space="preserve"> 3.2.3.05.012</t>
  </si>
  <si>
    <t>OUTRAS RECEITAS</t>
  </si>
  <si>
    <t xml:space="preserve"> 3.2.3.05.030</t>
  </si>
  <si>
    <t>INCENTIVO FISCAL (CREDIDO PRESUMIDO ICMS)</t>
  </si>
  <si>
    <t xml:space="preserve"> 3.2.3.05.034</t>
  </si>
  <si>
    <t>DESPESAS CBIO - RENOVABIO</t>
  </si>
  <si>
    <t xml:space="preserve"> 3.2.3.05.035</t>
  </si>
  <si>
    <t>RECEITAS CBIO - RENOVABIO</t>
  </si>
  <si>
    <t xml:space="preserve"> 3.2.3.05.040</t>
  </si>
  <si>
    <t>CUSTO NA ALIENAÇÃO DE IMOVEIS</t>
  </si>
  <si>
    <t xml:space="preserve"> 3.2.3.05.042</t>
  </si>
  <si>
    <t>IMPOSTO DE RENDA EXCLUSIVO NA FONTE</t>
  </si>
  <si>
    <t xml:space="preserve"> 3.2.3.05.043</t>
  </si>
  <si>
    <t>DESPESAS ENTRESAFRA - IND/AGR</t>
  </si>
  <si>
    <t xml:space="preserve"> 3.2.3.06</t>
  </si>
  <si>
    <t>RESULTADOS NÃO OPERACIONAIS</t>
  </si>
  <si>
    <t xml:space="preserve"> 3.2.3.06.002</t>
  </si>
  <si>
    <t>RECEITA DA ALIENAÇÃO DE IMOBILIZADO</t>
  </si>
  <si>
    <t>S</t>
  </si>
  <si>
    <t>SINTETICA</t>
  </si>
  <si>
    <t>N</t>
  </si>
  <si>
    <t>NÃO UTILIZAR</t>
  </si>
  <si>
    <t xml:space="preserve"> 1.1.7.01</t>
  </si>
  <si>
    <t>APONTAMENTO ENTRESSAFRA</t>
  </si>
  <si>
    <t xml:space="preserve"> 1.1.7.01.003</t>
  </si>
  <si>
    <t>SEGUROS GERAIS</t>
  </si>
  <si>
    <t xml:space="preserve"> 3.1.1.05.002</t>
  </si>
  <si>
    <t>VENDAS DE ALMOXARIFADO</t>
  </si>
  <si>
    <t xml:space="preserve"> 3.2.2.02.007</t>
  </si>
  <si>
    <t>CMV -VENDA DE ALMOXARIFADO</t>
  </si>
  <si>
    <t xml:space="preserve"> 3.2.3.01.040</t>
  </si>
  <si>
    <t xml:space="preserve"> 3.2.3.01.048</t>
  </si>
  <si>
    <t xml:space="preserve"> 3.2.3.02.017</t>
  </si>
  <si>
    <t xml:space="preserve"> 3.2.3.03.040</t>
  </si>
  <si>
    <t xml:space="preserve"> 3.2.3.03.085</t>
  </si>
  <si>
    <t>AJUSTE DE ESTOQUE</t>
  </si>
  <si>
    <t xml:space="preserve"> 3.2.3.05.052</t>
  </si>
  <si>
    <t>RECEITA S/GANHO DE PROCESSO JUDICIAL</t>
  </si>
  <si>
    <t>DIFERENÇA</t>
  </si>
  <si>
    <t xml:space="preserve"> 1.2.1.09</t>
  </si>
  <si>
    <t>DEPOSITOS BLOQUEADOS</t>
  </si>
  <si>
    <t xml:space="preserve"> 1.2.1.09.001</t>
  </si>
  <si>
    <t xml:space="preserve"> 1.2.1.09.002</t>
  </si>
  <si>
    <t xml:space="preserve"> 2.1.2.14</t>
  </si>
  <si>
    <t>FATURAMENTO ANTECIPADO</t>
  </si>
  <si>
    <t xml:space="preserve"> 2.1.2.14.001</t>
  </si>
  <si>
    <t xml:space="preserve"> 3.2.3.02.019</t>
  </si>
  <si>
    <t>DESPESAS COM VIAGENS E ESTADIAS</t>
  </si>
  <si>
    <t xml:space="preserve"> 3.2.3.02.038</t>
  </si>
  <si>
    <t xml:space="preserve"> 3.2.3.05.053</t>
  </si>
  <si>
    <t>CRÉDITO PIS</t>
  </si>
  <si>
    <t xml:space="preserve"> 3.2.3.05.054</t>
  </si>
  <si>
    <t>CRÉDITO COFINS</t>
  </si>
  <si>
    <t xml:space="preserve"> 1.1.3.01.011</t>
  </si>
  <si>
    <t>ADIANTAMENTO FOLHA DE URBANA</t>
  </si>
  <si>
    <t xml:space="preserve"> 1.3.2.06.007</t>
  </si>
  <si>
    <t xml:space="preserve">OBRAS EM ANDAMENTOS </t>
  </si>
  <si>
    <t xml:space="preserve"> 3.2.3.05.031</t>
  </si>
  <si>
    <t>ESTORNO INCENTIVO FISCAL ( CREDITO PRESUMIDO ICMS)</t>
  </si>
  <si>
    <t xml:space="preserve"> 3.2.3.05.055</t>
  </si>
  <si>
    <t>BONIFICAÇÕES RECEBIDAS</t>
  </si>
  <si>
    <t xml:space="preserve"> 1.1.8</t>
  </si>
  <si>
    <t xml:space="preserve"> 1.1.8.01</t>
  </si>
  <si>
    <t>OUTROS CREDITOS</t>
  </si>
  <si>
    <t xml:space="preserve"> 1.1.8.01.016</t>
  </si>
  <si>
    <t>OUTROS CREDORES</t>
  </si>
  <si>
    <t xml:space="preserve"> 2.2.1.02.004</t>
  </si>
  <si>
    <t xml:space="preserve"> 2.1.1.07</t>
  </si>
  <si>
    <t>CHEQUES A COMPENSAR</t>
  </si>
  <si>
    <t xml:space="preserve"> 2.1.1.07.001</t>
  </si>
  <si>
    <t xml:space="preserve"> 3.2.3.03.100</t>
  </si>
  <si>
    <t>HONORARIOS ADVOCATICIOS SOBRE PROCESSOS TRIBUTÁRIO</t>
  </si>
  <si>
    <t xml:space="preserve"> 1.1.6.04</t>
  </si>
  <si>
    <t>PRODUTOS EM ELABORAÇÃO</t>
  </si>
  <si>
    <t xml:space="preserve"> 1.1.6.04.003</t>
  </si>
  <si>
    <t xml:space="preserve"> 1.3.2.08.026</t>
  </si>
  <si>
    <t xml:space="preserve"> 2.1.2.04.042</t>
  </si>
  <si>
    <t>ITR</t>
  </si>
  <si>
    <t xml:space="preserve"> 3.2.2.02.004</t>
  </si>
  <si>
    <t>CPV - CANA DE AÇÚCAR</t>
  </si>
  <si>
    <t xml:space="preserve"> 3.2.3.01.053</t>
  </si>
  <si>
    <t>MATÉRIAS-PRIMAS DIVERSAS</t>
  </si>
  <si>
    <t>DEPRECIAÇÃO DA LAVOURA (SAFRA 2024/2025)</t>
  </si>
  <si>
    <t xml:space="preserve"> 1.1.3.01.012</t>
  </si>
  <si>
    <t>ADIANTAMENTO ARRENDAMENTO/PARCERIA</t>
  </si>
  <si>
    <t xml:space="preserve"> 2.1.2.04.027</t>
  </si>
  <si>
    <t>ICMS SUBSTITIÇÃO TRIBUTÁRIA</t>
  </si>
  <si>
    <t xml:space="preserve"> 2.2.1.02.048</t>
  </si>
  <si>
    <t xml:space="preserve"> 3.1.1.06</t>
  </si>
  <si>
    <t>RECEITAS S/ SERVIÇOS</t>
  </si>
  <si>
    <t xml:space="preserve"> 3.1.1.06.002</t>
  </si>
  <si>
    <t>RECEITAS S/SERVIÇOS</t>
  </si>
  <si>
    <t xml:space="preserve"> 3.2.2.01.004</t>
  </si>
  <si>
    <t>ETANOL ANIDRO</t>
  </si>
  <si>
    <t xml:space="preserve"> 3.2.2.01.005</t>
  </si>
  <si>
    <t>ETANOL HIDRATADO</t>
  </si>
  <si>
    <t xml:space="preserve"> 3.2.3.02.049</t>
  </si>
  <si>
    <t xml:space="preserve"> 3.2.3.02.115</t>
  </si>
  <si>
    <t>COMISSÕES VENDA DE ETANOL</t>
  </si>
  <si>
    <t xml:space="preserve"> 3.2.3.05.019</t>
  </si>
  <si>
    <t>ISS</t>
  </si>
  <si>
    <t xml:space="preserve"> 1.1.7.01.001</t>
  </si>
  <si>
    <t>APONTAMENTO INDUSTRIAL</t>
  </si>
  <si>
    <t xml:space="preserve"> 1.1.7.01.002</t>
  </si>
  <si>
    <t>APONTAMENTO AGRÍCOLA</t>
  </si>
  <si>
    <t xml:space="preserve"> 2.1.2.18</t>
  </si>
  <si>
    <t>OPERAÇÕES FINANCEIRAS - DERIVATIVOS</t>
  </si>
  <si>
    <t xml:space="preserve"> 2.1.2.18.001</t>
  </si>
  <si>
    <t xml:space="preserve"> 2.2.1.12</t>
  </si>
  <si>
    <t>ENCARGOS TRIBUTARIOS</t>
  </si>
  <si>
    <t xml:space="preserve"> 2.2.1.12.001</t>
  </si>
  <si>
    <t xml:space="preserve"> 3.2.2.01.006</t>
  </si>
  <si>
    <t>Operações Financeiras - NDF</t>
  </si>
  <si>
    <t>Operações Financeiras</t>
  </si>
  <si>
    <t>Impostos taxas e Contribuições Diversas.</t>
  </si>
  <si>
    <t>Credores sob contrato.</t>
  </si>
  <si>
    <t>Fornecedores.</t>
  </si>
  <si>
    <t>Empréstimos e financiamentos.</t>
  </si>
  <si>
    <t xml:space="preserve"> 2.1.2.03.007</t>
  </si>
  <si>
    <t>DÉCIMO TERCEIRO SALÁRIO - URBANA</t>
  </si>
  <si>
    <t xml:space="preserve"> 2.1.2.03.014</t>
  </si>
  <si>
    <t>DÉCIMO TERCEIRO SALÁRIO - RURAL</t>
  </si>
  <si>
    <t xml:space="preserve"> 2.1.2.09.064</t>
  </si>
  <si>
    <t>ACORDOS TRABALHISTAS</t>
  </si>
  <si>
    <t xml:space="preserve"> 2.2.1.06</t>
  </si>
  <si>
    <t>PROVISÕES CONTÁBEIS</t>
  </si>
  <si>
    <t xml:space="preserve"> 2.2.1.06.001</t>
  </si>
  <si>
    <t>PROVISÕES PARA PERDAS</t>
  </si>
  <si>
    <t xml:space="preserve"> 3.2.3.02.074</t>
  </si>
  <si>
    <t>RECUPERAÇÕES</t>
  </si>
  <si>
    <t>Provisão Para Perdas</t>
  </si>
  <si>
    <t xml:space="preserve"> 2.1.2.03.018</t>
  </si>
  <si>
    <t>DESCONTO DESCISÃO JUDICIAL</t>
  </si>
  <si>
    <t xml:space="preserve"> 2.4.1.05</t>
  </si>
  <si>
    <t xml:space="preserve"> 3.2.3.02.057</t>
  </si>
  <si>
    <t xml:space="preserve"> 3.2.3.04.015</t>
  </si>
  <si>
    <t>VARIAÇÃO CAMBIAL ATIVA S/NDF</t>
  </si>
  <si>
    <t xml:space="preserve"> 3.2.3.06.004</t>
  </si>
  <si>
    <t>CUSTO NA ALIENAÇÃO DE IMOBILIZADO</t>
  </si>
  <si>
    <t>2.4.1.05.003</t>
  </si>
  <si>
    <t>LUCRO DO PERIODO</t>
  </si>
  <si>
    <t>LUCRO E/OU PREJUIZO ACUMULADOS</t>
  </si>
  <si>
    <t xml:space="preserve"> 1.1.4.04.010</t>
  </si>
  <si>
    <t>PEDIDO DE RESSARC - IPI</t>
  </si>
  <si>
    <t xml:space="preserve"> 1.3.2.07.026</t>
  </si>
  <si>
    <t>SAFRA 2026/2027</t>
  </si>
  <si>
    <t>INSS CONTRIBUINTES INDIVIDUAIS</t>
  </si>
  <si>
    <t xml:space="preserve"> 2.1.3</t>
  </si>
  <si>
    <t>PARTICIPAÇÕES E DESTINAÇÕES DO LUCRO LÍQUIDO</t>
  </si>
  <si>
    <t xml:space="preserve"> 2.1.3.01</t>
  </si>
  <si>
    <t>DIVIDENDOS</t>
  </si>
  <si>
    <t xml:space="preserve"> 2.1.3.01.001</t>
  </si>
  <si>
    <t>DIVIDENDOS A DISTRIBUIR PROPOSTO</t>
  </si>
  <si>
    <t xml:space="preserve"> 2.4.1.04.006</t>
  </si>
  <si>
    <t>RESERVA CRÉD PRESUMIDO</t>
  </si>
  <si>
    <t xml:space="preserve"> 3.2.3.02.032</t>
  </si>
  <si>
    <t xml:space="preserve"> 3.2.3.03.049</t>
  </si>
  <si>
    <t xml:space="preserve"> 3.2.3.03.096</t>
  </si>
  <si>
    <t>MULTA</t>
  </si>
  <si>
    <t xml:space="preserve"> 3.2.3.04.017</t>
  </si>
  <si>
    <t>VARIAÇÃO PASSIVA</t>
  </si>
  <si>
    <t xml:space="preserve"> 3.2.3.05.056</t>
  </si>
  <si>
    <t>MULTA CONTRATUAL RECEBIDA</t>
  </si>
  <si>
    <t xml:space="preserve"> 3.2.3.05.057</t>
  </si>
  <si>
    <t>DÉBITOS TRIBUTÁRIOS RECONHECIDOS</t>
  </si>
  <si>
    <t>Dividendos a Distribuir Proposto</t>
  </si>
  <si>
    <t>PASSIVO Ñ CIRCULANTE</t>
  </si>
  <si>
    <t>RESULTADO</t>
  </si>
  <si>
    <t>SINTETICAA</t>
  </si>
  <si>
    <t>ATIVO REALIZAVEL A LONGO PRAZO</t>
  </si>
  <si>
    <t>INVESTIMENTO</t>
  </si>
  <si>
    <t xml:space="preserve"> 1.1.4.02.016</t>
  </si>
  <si>
    <t>CREDITO PIS - RECEITA NÃO TRIBUTADA - MI</t>
  </si>
  <si>
    <t xml:space="preserve"> 1.1.4.03.016</t>
  </si>
  <si>
    <t>CREDITO COFINS - RECEITA NÃO TRIBUTADA - MI</t>
  </si>
  <si>
    <t xml:space="preserve"> 3.1.1.01.007</t>
  </si>
  <si>
    <t xml:space="preserve"> 3.2.3.01.063</t>
  </si>
  <si>
    <t>INDENIZAÇÕES DIVERSAS - P. JURÍDICA</t>
  </si>
  <si>
    <t xml:space="preserve"> 3.2.3.04.018</t>
  </si>
  <si>
    <t>VARIAÇÃO ATIVA</t>
  </si>
  <si>
    <t xml:space="preserve"> 3.2.3.05.051</t>
  </si>
  <si>
    <t>RESULTADO EQUIVALÊNCIA PATRIMONIAL</t>
  </si>
  <si>
    <t xml:space="preserve"> 1.1.3.02</t>
  </si>
  <si>
    <t>ADIANTAMENTOS A FUNCIONÁRIOS</t>
  </si>
  <si>
    <t xml:space="preserve"> 1.1.3.02.001</t>
  </si>
  <si>
    <t>ADIANTAMENTO DA FOLHA DE PAGAMENTO</t>
  </si>
  <si>
    <t xml:space="preserve"> 2.1.2.03.019</t>
  </si>
  <si>
    <t>DESCONTO EMPRESTIMO CONSIGNADO</t>
  </si>
  <si>
    <t xml:space="preserve"> 2.1.2.05.026</t>
  </si>
  <si>
    <t>DIV. ATIVA - IRPJ FONTE</t>
  </si>
  <si>
    <t xml:space="preserve"> 2.1.2.10.051</t>
  </si>
  <si>
    <t>PARCELAMENTO PGFN Nº 12773091</t>
  </si>
  <si>
    <t xml:space="preserve"> 2.2.1.02.051</t>
  </si>
  <si>
    <t xml:space="preserve"> 3.2.3.03.099</t>
  </si>
  <si>
    <t>ENCARGO LEGAIS SOBRE DÉBITOS TRIBUTÁRIOS</t>
  </si>
  <si>
    <t xml:space="preserve"> 2.1.2.15.005</t>
  </si>
  <si>
    <t>MUNDAU AGROPECUARIA</t>
  </si>
  <si>
    <t xml:space="preserve"> 3.2.3.03.108</t>
  </si>
  <si>
    <t>CERTIFICADOS DIGITAIS</t>
  </si>
  <si>
    <t xml:space="preserve"> 3.2.3.03.112</t>
  </si>
  <si>
    <t>DESCONTOS TRANSAÇÃO PARCELAMENTOS</t>
  </si>
  <si>
    <t xml:space="preserve"> 3.2.3.04.019</t>
  </si>
  <si>
    <t>JUROS PASSIVOS - PARCELAMENTOS</t>
  </si>
  <si>
    <t xml:space="preserve"> 3.2.3.04.020</t>
  </si>
  <si>
    <t>DESCONTOS S/JUROS PASSIVOS - PARCELAMENTOS</t>
  </si>
  <si>
    <t xml:space="preserve"> 3.2.3.05.014</t>
  </si>
  <si>
    <t>OUTRAS DESPESAS</t>
  </si>
  <si>
    <t xml:space="preserve"> 1.1.3.01.013</t>
  </si>
  <si>
    <t xml:space="preserve"> 1.1.6.08</t>
  </si>
  <si>
    <t>MERCADORIAS NOSSA OU DE TERCEIRO</t>
  </si>
  <si>
    <t xml:space="preserve"> 1.1.6.08.001</t>
  </si>
  <si>
    <t xml:space="preserve"> 1.1.6.08.002</t>
  </si>
  <si>
    <t xml:space="preserve"> 1.1.6.08.003</t>
  </si>
  <si>
    <t>(-) MERCADORIAS NOSSA OU DE TERCEIROS</t>
  </si>
  <si>
    <t xml:space="preserve"> 1.2.1.02.005</t>
  </si>
  <si>
    <t>ARARUAMA EMPREENDIMENTOS LTDA</t>
  </si>
  <si>
    <t xml:space="preserve"> 3.2.3.02.114</t>
  </si>
  <si>
    <t>COMISSÕES VENDA DE AÇÚCAR</t>
  </si>
  <si>
    <t xml:space="preserve"> 3.2.3.04.001</t>
  </si>
  <si>
    <t>JUROS DE FIN.PASSIVO</t>
  </si>
  <si>
    <t xml:space="preserve"> 3.2.3.06.005</t>
  </si>
  <si>
    <t>RECEITA S.INDENIZACAO DE SOCARIA</t>
  </si>
  <si>
    <t xml:space="preserve"> 3.2.3.06.006</t>
  </si>
  <si>
    <t>CUSTO NA BAIXA DO PLANTIO</t>
  </si>
  <si>
    <t xml:space="preserve"> 2.1.2.02.052</t>
  </si>
  <si>
    <t>CÉDULA DE PRODUTO RURAL - CPR - F</t>
  </si>
  <si>
    <t xml:space="preserve"> 2.1.2.10.052</t>
  </si>
  <si>
    <t>PARCELAMENTO TRANSACAO IBAMA</t>
  </si>
  <si>
    <t xml:space="preserve"> 2.2.1.01.009</t>
  </si>
  <si>
    <t xml:space="preserve"> 2.2.1.02.052</t>
  </si>
  <si>
    <t xml:space="preserve"> 3.2.3.05.015</t>
  </si>
  <si>
    <t xml:space="preserve"> 3.2.3.05.023</t>
  </si>
  <si>
    <t>RECEITA DE CRÉDITOS INDENIZATÓRIOS</t>
  </si>
  <si>
    <t>Sucres</t>
  </si>
  <si>
    <t xml:space="preserve"> 1.3.2.08.027</t>
  </si>
  <si>
    <t>DEPRECIAÇÃO DA LAVOURA (SAFRA 2025/2026)</t>
  </si>
  <si>
    <t xml:space="preserve"> 3.2.3.04.021</t>
  </si>
  <si>
    <t>JUROS S-CÉDULAS DE PRODUTO RURAL</t>
  </si>
  <si>
    <t xml:space="preserve"> 3.2.3.04.022</t>
  </si>
  <si>
    <t>VARIAÇÃO CAMBIAL ATIVA S-CÉDULAS DE PRODUTO RURAL</t>
  </si>
  <si>
    <t xml:space="preserve"> 1.1.4.02.007</t>
  </si>
  <si>
    <t>PIS - CRÉDITO PRESUMIDO AGROINDÚSTRIA</t>
  </si>
  <si>
    <t xml:space="preserve"> 1.1.4.03.007</t>
  </si>
  <si>
    <t>COFINS - CRÉDITO PRESUMIDO AGROINDÚSTRIA</t>
  </si>
  <si>
    <t xml:space="preserve"> 1.1.4.04.007</t>
  </si>
  <si>
    <t>PIS S/ CANA DE AÇÚCAR PJ S/ETANOL</t>
  </si>
  <si>
    <t xml:space="preserve"> 1.1.4.04.008</t>
  </si>
  <si>
    <t>COFINS S/ CANA DE AÇÚCAR PJ S/ETANOL</t>
  </si>
  <si>
    <t xml:space="preserve"> 3.2.3.01.068</t>
  </si>
  <si>
    <t xml:space="preserve"> 3.2.3.04.023</t>
  </si>
  <si>
    <t>VARIAÇÃO CAMBIAL PASSIVA S-CÉDULA DE PRODUTO RURAL</t>
  </si>
  <si>
    <t xml:space="preserve"> 3.2.3.05.058</t>
  </si>
  <si>
    <t>CRÉDITO PRESUMIDO PIS/COFINS CANA DE AÇÚCAR</t>
  </si>
  <si>
    <t xml:space="preserve"> 1.1.1.02.014</t>
  </si>
  <si>
    <t>BANCO DAYCOVAL - C/C 613576-7</t>
  </si>
  <si>
    <t xml:space="preserve"> 2.1.2.02.053</t>
  </si>
  <si>
    <t>BANCO DAYCOVAL C/C 613576 - CHEQUE ESPECIAL</t>
  </si>
  <si>
    <t xml:space="preserve"> 2.2.1.03.004</t>
  </si>
  <si>
    <t xml:space="preserve"> 2.1.2.19</t>
  </si>
  <si>
    <t>ADIANTAMENTO DE DIVIDENDOS RECEBIDOS</t>
  </si>
  <si>
    <t xml:space="preserve"> 2.1.2.19.001</t>
  </si>
  <si>
    <t>LUCROS E/OU PREJUÍZOS ACUMULADOS</t>
  </si>
  <si>
    <t xml:space="preserve"> 2.4.1.05.004</t>
  </si>
  <si>
    <t>PREJUÍZO DO PERÍODO</t>
  </si>
  <si>
    <t xml:space="preserve"> 3.1.1.01.004</t>
  </si>
  <si>
    <t>AÇÚCAR CRISTAL</t>
  </si>
  <si>
    <t>Adiantamentos De dividendos</t>
  </si>
  <si>
    <t>Data:  02/06/2026</t>
  </si>
  <si>
    <t>Hora:  13:30:20</t>
  </si>
  <si>
    <t>Mês:  04 - Ano: 2026</t>
  </si>
  <si>
    <t>Conta contábil:  0 à 0</t>
  </si>
  <si>
    <t xml:space="preserve"> 1.3.2.07.027</t>
  </si>
  <si>
    <t>SAFRA 2027/2028</t>
  </si>
  <si>
    <t xml:space="preserve"> 2.1.2.10.053</t>
  </si>
  <si>
    <t>PARCELAMENTO TRANSACAO RFB</t>
  </si>
  <si>
    <t xml:space="preserve"> 2.1.2.10.054</t>
  </si>
  <si>
    <t>PARCELAMENTO PGFN - 15871796</t>
  </si>
  <si>
    <t xml:space="preserve"> 2.2.1.02.053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</si>
</sst>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,###,###,###,##0.00"/>
    <numFmt numFmtId="165" formatCode="_-* #,##0.000_-;\-* #,##0.000_-;_-* &quot;-&quot;??_-;_-@_-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name val="Calibri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</cellStyleXfs>
  <cellXfs count="32">
    <xf numFmtId="0" fontId="0" fillId="0" borderId="0" xfId="0"/>
    <xf numFmtId="43" fontId="0" fillId="0" borderId="0" xfId="1" applyFont="1"/>
    <xf numFmtId="0" fontId="3" fillId="0" borderId="0" xfId="0" applyFont="1"/>
    <xf numFmtId="49" fontId="0" fillId="0" borderId="0" xfId="0" applyNumberFormat="1"/>
    <xf numFmtId="0" fontId="0" fillId="0" borderId="5" xfId="0" applyBorder="1"/>
    <xf numFmtId="0" fontId="0" fillId="0" borderId="6" xfId="0" applyBorder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43" fontId="0" fillId="0" borderId="0" xfId="0" applyNumberFormat="1"/>
    <xf numFmtId="4" fontId="0" fillId="0" borderId="0" xfId="0" applyNumberFormat="1"/>
    <xf numFmtId="4" fontId="0" fillId="0" borderId="0" xfId="1" applyNumberFormat="1" applyFont="1"/>
    <xf numFmtId="14" fontId="3" fillId="0" borderId="0" xfId="0" applyNumberFormat="1" applyFont="1"/>
    <xf numFmtId="4" fontId="0" fillId="2" borderId="0" xfId="0" applyNumberFormat="1" applyFill="1"/>
    <xf numFmtId="0" fontId="0" fillId="2" borderId="0" xfId="0" applyFill="1"/>
    <xf numFmtId="4" fontId="0" fillId="2" borderId="0" xfId="1" applyNumberFormat="1" applyFont="1" applyFill="1"/>
    <xf numFmtId="0" fontId="0" fillId="3" borderId="0" xfId="0" applyFill="1"/>
    <xf numFmtId="49" fontId="0" fillId="3" borderId="0" xfId="0" applyNumberFormat="1" applyFill="1"/>
    <xf numFmtId="0" fontId="5" fillId="0" borderId="0" xfId="3"/>
    <xf numFmtId="165" fontId="0" fillId="0" borderId="0" xfId="1" applyNumberFormat="1" applyFont="1"/>
    <xf numFmtId="166" fontId="0" fillId="0" borderId="0" xfId="0" applyNumberFormat="1"/>
    <xf numFmtId="0" fontId="0" fillId="0" borderId="1" xfId="0" applyBorder="1"/>
    <xf numFmtId="0" fontId="0" fillId="0" borderId="4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164" fontId="0" fillId="0" borderId="0" xfId="0" applyNumberFormat="1"/>
    <xf numFmtId="0" fontId="6" fillId="0" borderId="1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164" fontId="0" fillId="2" borderId="0" xfId="0" applyNumberFormat="1" applyFill="1"/>
  </cellXfs>
  <cellStyles count="4">
    <cellStyle name="Normal" xfId="0" builtinId="0"/>
    <cellStyle name="Normal 2" xfId="3" xr:uid="{DD409117-C1E0-43C9-9AF9-17D9373EF6F0}"/>
    <cellStyle name="Normal 4" xfId="2" xr:uid="{57811E30-FF87-4657-886C-28F34913D8C2}"/>
    <cellStyle name="Vírgula" xfId="1" builtinId="3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6980-AE89-4AD6-9E5A-AAD148828DDA}">
  <dimension ref="A1:S18"/>
  <sheetViews>
    <sheetView topLeftCell="E1" workbookViewId="0">
      <selection activeCell="K2" sqref="K2"/>
    </sheetView>
  </sheetViews>
  <sheetFormatPr defaultRowHeight="15" x14ac:dyDescent="0.25"/>
  <cols>
    <col min="4" max="4" width="15.7109375" bestFit="1" customWidth="1"/>
    <col min="5" max="5" width="15.7109375" customWidth="1"/>
    <col min="6" max="6" width="22.85546875" bestFit="1" customWidth="1"/>
    <col min="7" max="7" width="11.28515625" bestFit="1" customWidth="1"/>
    <col min="8" max="8" width="34.140625" bestFit="1" customWidth="1"/>
    <col min="9" max="9" width="7.140625" bestFit="1" customWidth="1"/>
    <col min="10" max="10" width="71.140625" bestFit="1" customWidth="1"/>
    <col min="11" max="14" width="15.85546875" customWidth="1"/>
    <col min="15" max="19" width="12" bestFit="1" customWidth="1"/>
  </cols>
  <sheetData>
    <row r="1" spans="1:19" x14ac:dyDescent="0.25">
      <c r="A1" t="s">
        <v>73</v>
      </c>
      <c r="B1" t="s">
        <v>34</v>
      </c>
      <c r="C1" t="s">
        <v>75</v>
      </c>
      <c r="D1" t="s">
        <v>30</v>
      </c>
      <c r="E1" t="s">
        <v>74</v>
      </c>
      <c r="F1" s="2" t="s">
        <v>31</v>
      </c>
      <c r="G1" s="2" t="s">
        <v>77</v>
      </c>
      <c r="H1" s="2" t="s">
        <v>32</v>
      </c>
      <c r="I1" s="2" t="s">
        <v>70</v>
      </c>
      <c r="J1" s="2" t="s">
        <v>33</v>
      </c>
      <c r="K1" s="12">
        <v>46142</v>
      </c>
      <c r="L1" s="12">
        <v>46022</v>
      </c>
      <c r="M1" s="12">
        <v>45657</v>
      </c>
      <c r="N1" s="12">
        <v>45291</v>
      </c>
      <c r="O1" s="12">
        <v>44926</v>
      </c>
      <c r="P1" s="12">
        <v>44561</v>
      </c>
      <c r="Q1" s="12">
        <v>44196</v>
      </c>
      <c r="R1" s="12">
        <v>43830</v>
      </c>
      <c r="S1" s="12">
        <v>43465</v>
      </c>
    </row>
    <row r="2" spans="1:19" x14ac:dyDescent="0.25">
      <c r="A2">
        <v>1</v>
      </c>
      <c r="B2" t="s">
        <v>35</v>
      </c>
      <c r="C2">
        <v>1</v>
      </c>
      <c r="D2" t="s">
        <v>0</v>
      </c>
      <c r="E2">
        <v>1</v>
      </c>
      <c r="F2" t="s">
        <v>0</v>
      </c>
      <c r="G2">
        <v>1</v>
      </c>
      <c r="H2" t="s">
        <v>1</v>
      </c>
      <c r="I2">
        <v>1</v>
      </c>
      <c r="J2" t="s">
        <v>2</v>
      </c>
      <c r="K2" s="10">
        <f>SUMIFS(Planilha1!G:G,Planilha1!H:H,Ativo!G:G,Planilha1!I:I,Ativo!H:H)/1000</f>
        <v>1038.05774</v>
      </c>
      <c r="L2" s="10">
        <v>5300.9862500000008</v>
      </c>
      <c r="M2" s="10">
        <v>2726.8521600000008</v>
      </c>
      <c r="N2" s="10">
        <v>5871.2930800000004</v>
      </c>
      <c r="O2" s="10">
        <v>901.73356000000001</v>
      </c>
      <c r="P2" s="10">
        <v>4492.6430399999999</v>
      </c>
      <c r="Q2" s="10">
        <v>7721.5330999999996</v>
      </c>
      <c r="R2" s="10">
        <v>1809.55503</v>
      </c>
      <c r="S2" s="10">
        <v>5667.0327800000005</v>
      </c>
    </row>
    <row r="3" spans="1:19" x14ac:dyDescent="0.25">
      <c r="A3">
        <v>1</v>
      </c>
      <c r="B3" t="s">
        <v>35</v>
      </c>
      <c r="C3">
        <v>1</v>
      </c>
      <c r="D3" t="s">
        <v>0</v>
      </c>
      <c r="E3">
        <v>1</v>
      </c>
      <c r="F3" t="s">
        <v>0</v>
      </c>
      <c r="G3">
        <v>2</v>
      </c>
      <c r="H3" t="s">
        <v>3</v>
      </c>
      <c r="I3">
        <v>2</v>
      </c>
      <c r="J3" t="s">
        <v>4</v>
      </c>
      <c r="K3" s="10">
        <f>SUMIFS(Planilha1!G:G,Planilha1!H:H,Ativo!G:G,Planilha1!I:I,Ativo!H:H)/1000</f>
        <v>5547.9689500000004</v>
      </c>
      <c r="L3" s="10">
        <v>7292.1313599999994</v>
      </c>
      <c r="M3" s="10">
        <v>11537.63458</v>
      </c>
      <c r="N3" s="10">
        <v>4665.3804900000005</v>
      </c>
      <c r="O3" s="10">
        <v>5121.8415599999998</v>
      </c>
      <c r="P3" s="10">
        <v>6075.9538499999999</v>
      </c>
      <c r="Q3" s="10">
        <v>6021.6185999999998</v>
      </c>
      <c r="R3" s="10">
        <v>4603.6861600000002</v>
      </c>
      <c r="S3" s="10">
        <v>28561.78759</v>
      </c>
    </row>
    <row r="4" spans="1:19" x14ac:dyDescent="0.25">
      <c r="A4">
        <v>1</v>
      </c>
      <c r="B4" t="s">
        <v>35</v>
      </c>
      <c r="C4">
        <v>1</v>
      </c>
      <c r="D4" t="s">
        <v>0</v>
      </c>
      <c r="E4">
        <v>1</v>
      </c>
      <c r="F4" t="s">
        <v>0</v>
      </c>
      <c r="G4">
        <v>3</v>
      </c>
      <c r="H4" t="s">
        <v>5</v>
      </c>
      <c r="I4">
        <v>3</v>
      </c>
      <c r="J4" t="s">
        <v>6</v>
      </c>
      <c r="K4" s="10">
        <f>SUMIFS(Planilha1!G:G,Planilha1!H:H,Ativo!G:G,Planilha1!I:I,Ativo!H:H)/1000</f>
        <v>2413.3270399999997</v>
      </c>
      <c r="L4" s="10">
        <v>1832.7243100000001</v>
      </c>
      <c r="M4" s="10">
        <v>3276.8184300000003</v>
      </c>
      <c r="N4" s="10">
        <v>2676.4234900000001</v>
      </c>
      <c r="O4" s="10">
        <v>3488.99305</v>
      </c>
      <c r="P4" s="10">
        <v>4190.2611900000002</v>
      </c>
      <c r="Q4" s="10">
        <v>3216.38537</v>
      </c>
      <c r="R4" s="10">
        <v>2792.8915899999997</v>
      </c>
      <c r="S4" s="10">
        <v>10119.58798</v>
      </c>
    </row>
    <row r="5" spans="1:19" x14ac:dyDescent="0.25">
      <c r="A5">
        <v>1</v>
      </c>
      <c r="B5" t="s">
        <v>35</v>
      </c>
      <c r="C5">
        <v>1</v>
      </c>
      <c r="D5" t="s">
        <v>0</v>
      </c>
      <c r="E5">
        <v>1</v>
      </c>
      <c r="F5" t="s">
        <v>0</v>
      </c>
      <c r="G5">
        <v>4</v>
      </c>
      <c r="H5" t="s">
        <v>7</v>
      </c>
      <c r="I5">
        <v>4</v>
      </c>
      <c r="J5" t="s">
        <v>8</v>
      </c>
      <c r="K5" s="10">
        <f>SUMIFS(Planilha1!G:G,Planilha1!H:H,Ativo!G:G,Planilha1!I:I,Ativo!H:H)/1000</f>
        <v>31179.367050000004</v>
      </c>
      <c r="L5" s="10">
        <v>35417.00894</v>
      </c>
      <c r="M5" s="10">
        <v>30977.860619999996</v>
      </c>
      <c r="N5" s="10">
        <v>30044.276999999998</v>
      </c>
      <c r="O5" s="10">
        <v>26078.627469999999</v>
      </c>
      <c r="P5" s="10">
        <v>20550.263219999997</v>
      </c>
      <c r="Q5" s="10">
        <v>15372.855609999999</v>
      </c>
      <c r="R5" s="10">
        <v>10290.206279999999</v>
      </c>
      <c r="S5" s="10">
        <f>9210.56336+174</f>
        <v>9384.5633600000001</v>
      </c>
    </row>
    <row r="6" spans="1:19" x14ac:dyDescent="0.25">
      <c r="A6">
        <v>1</v>
      </c>
      <c r="B6" t="s">
        <v>35</v>
      </c>
      <c r="C6">
        <v>1</v>
      </c>
      <c r="D6" t="s">
        <v>0</v>
      </c>
      <c r="E6">
        <v>1</v>
      </c>
      <c r="F6" t="s">
        <v>0</v>
      </c>
      <c r="G6">
        <v>5</v>
      </c>
      <c r="H6" t="s">
        <v>9</v>
      </c>
      <c r="I6">
        <v>5</v>
      </c>
      <c r="J6" t="s">
        <v>10</v>
      </c>
      <c r="K6" s="10"/>
      <c r="L6" s="10"/>
      <c r="M6" s="10"/>
      <c r="N6" s="10">
        <v>0</v>
      </c>
      <c r="O6" s="10">
        <v>133.5702</v>
      </c>
      <c r="P6" s="10">
        <v>0</v>
      </c>
      <c r="Q6" s="10">
        <v>0</v>
      </c>
      <c r="R6" s="10">
        <v>0</v>
      </c>
      <c r="S6" s="10">
        <v>0</v>
      </c>
    </row>
    <row r="7" spans="1:19" x14ac:dyDescent="0.25">
      <c r="A7">
        <v>1</v>
      </c>
      <c r="B7" t="s">
        <v>35</v>
      </c>
      <c r="C7">
        <v>1</v>
      </c>
      <c r="D7" t="s">
        <v>0</v>
      </c>
      <c r="E7">
        <v>1</v>
      </c>
      <c r="F7" t="s">
        <v>0</v>
      </c>
      <c r="G7">
        <v>5</v>
      </c>
      <c r="H7" t="s">
        <v>9</v>
      </c>
      <c r="I7">
        <v>5</v>
      </c>
      <c r="J7" t="s">
        <v>11</v>
      </c>
      <c r="K7" s="10">
        <f>SUMIFS(Planilha1!G:G,Planilha1!H:H,Ativo!G:G,Planilha1!I:I,Ativo!H:H)/1000</f>
        <v>327.74102999999997</v>
      </c>
      <c r="L7" s="10">
        <v>196.27883000000003</v>
      </c>
      <c r="M7" s="10">
        <v>763.87157000000002</v>
      </c>
      <c r="N7" s="10">
        <v>22.918130000000001</v>
      </c>
      <c r="O7" s="10">
        <v>16.625689999999999</v>
      </c>
      <c r="P7" s="10">
        <v>172.40498000000002</v>
      </c>
      <c r="Q7" s="10">
        <v>340.70628000000005</v>
      </c>
      <c r="R7" s="10">
        <v>258.95707999999996</v>
      </c>
      <c r="S7" s="10">
        <v>228.71869000000001</v>
      </c>
    </row>
    <row r="8" spans="1:19" x14ac:dyDescent="0.25">
      <c r="A8">
        <v>1</v>
      </c>
      <c r="B8" t="s">
        <v>35</v>
      </c>
      <c r="C8">
        <v>1</v>
      </c>
      <c r="D8" t="s">
        <v>0</v>
      </c>
      <c r="E8">
        <v>1</v>
      </c>
      <c r="F8" t="s">
        <v>0</v>
      </c>
      <c r="G8">
        <v>6</v>
      </c>
      <c r="H8" t="s">
        <v>12</v>
      </c>
      <c r="I8">
        <v>6</v>
      </c>
      <c r="J8" t="s">
        <v>12</v>
      </c>
      <c r="K8" s="10">
        <f>SUMIFS(Planilha1!G:G,Planilha1!H:H,Ativo!G:G,Planilha1!I:I,Ativo!H:H)/1000</f>
        <v>10585.120060000001</v>
      </c>
      <c r="L8" s="10">
        <v>25946.53196</v>
      </c>
      <c r="M8" s="10">
        <v>30056.866810000003</v>
      </c>
      <c r="N8" s="10">
        <v>27570.373749999999</v>
      </c>
      <c r="O8" s="10">
        <v>28253.053260000001</v>
      </c>
      <c r="P8" s="10">
        <v>30265.055850000001</v>
      </c>
      <c r="Q8" s="10">
        <v>21427.56365</v>
      </c>
      <c r="R8" s="10">
        <v>15134.97889</v>
      </c>
      <c r="S8" s="10">
        <v>6923.6393099999996</v>
      </c>
    </row>
    <row r="9" spans="1:19" x14ac:dyDescent="0.25">
      <c r="A9">
        <v>1</v>
      </c>
      <c r="B9" t="s">
        <v>35</v>
      </c>
      <c r="C9">
        <v>1</v>
      </c>
      <c r="D9" t="s">
        <v>0</v>
      </c>
      <c r="E9">
        <v>1</v>
      </c>
      <c r="F9" t="s">
        <v>0</v>
      </c>
      <c r="G9">
        <v>7</v>
      </c>
      <c r="H9" t="s">
        <v>13</v>
      </c>
      <c r="I9">
        <v>7</v>
      </c>
      <c r="J9" t="s">
        <v>14</v>
      </c>
      <c r="K9" s="10"/>
      <c r="L9" s="10"/>
      <c r="M9" s="10"/>
      <c r="N9" s="10">
        <v>0</v>
      </c>
      <c r="O9" s="10">
        <v>0</v>
      </c>
      <c r="P9" s="10">
        <v>9093.5358699999997</v>
      </c>
      <c r="Q9" s="10">
        <v>4474.3598099999999</v>
      </c>
      <c r="R9" s="10">
        <v>3443.6859900000004</v>
      </c>
      <c r="S9" s="10">
        <v>3344.3151400000002</v>
      </c>
    </row>
    <row r="10" spans="1:19" x14ac:dyDescent="0.25">
      <c r="A10">
        <v>1</v>
      </c>
      <c r="B10" t="s">
        <v>35</v>
      </c>
      <c r="C10">
        <v>1</v>
      </c>
      <c r="D10" t="s">
        <v>0</v>
      </c>
      <c r="E10">
        <v>1</v>
      </c>
      <c r="F10" t="s">
        <v>0</v>
      </c>
      <c r="G10">
        <v>7</v>
      </c>
      <c r="H10" t="s">
        <v>13</v>
      </c>
      <c r="I10">
        <v>7</v>
      </c>
      <c r="J10" t="s">
        <v>15</v>
      </c>
      <c r="K10" s="10">
        <f>SUMIFS(Planilha1!G:G,Planilha1!H:H,Ativo!G:G,Planilha1!I:I,Ativo!H:H)/1000</f>
        <v>6906.5942800000012</v>
      </c>
      <c r="L10" s="10">
        <v>14416.256100000002</v>
      </c>
      <c r="M10" s="10">
        <v>9305.6115700000009</v>
      </c>
      <c r="N10" s="10">
        <v>47.049669999999999</v>
      </c>
      <c r="O10" s="10">
        <v>54.660640000000001</v>
      </c>
      <c r="P10" s="10">
        <v>0</v>
      </c>
      <c r="Q10" s="10">
        <v>0</v>
      </c>
      <c r="R10" s="10">
        <v>0</v>
      </c>
      <c r="S10" s="10">
        <v>0</v>
      </c>
    </row>
    <row r="11" spans="1:19" x14ac:dyDescent="0.25">
      <c r="A11">
        <v>1</v>
      </c>
      <c r="B11" t="s">
        <v>35</v>
      </c>
      <c r="C11">
        <v>1</v>
      </c>
      <c r="D11" t="s">
        <v>0</v>
      </c>
      <c r="E11">
        <v>1</v>
      </c>
      <c r="F11" t="s">
        <v>0</v>
      </c>
      <c r="G11">
        <v>8</v>
      </c>
      <c r="H11" t="s">
        <v>16</v>
      </c>
      <c r="I11">
        <v>8</v>
      </c>
      <c r="J11" t="s">
        <v>17</v>
      </c>
      <c r="K11" s="10">
        <f>SUMIFS(Planilha1!G:G,Planilha1!H:H,Ativo!G:G,Planilha1!I:I,Ativo!H:H)/1000</f>
        <v>28380.459360000001</v>
      </c>
      <c r="L11" s="10">
        <v>28034.082140000002</v>
      </c>
      <c r="M11" s="10">
        <v>35758.570180000002</v>
      </c>
      <c r="N11" s="10">
        <v>41037.293439999994</v>
      </c>
      <c r="O11" s="10">
        <v>43117.355159999999</v>
      </c>
      <c r="P11" s="10">
        <v>27558.022559999998</v>
      </c>
      <c r="Q11" s="10">
        <v>16102.51319</v>
      </c>
      <c r="R11" s="10">
        <v>6210.74629</v>
      </c>
      <c r="S11" s="10">
        <v>3433.46297</v>
      </c>
    </row>
    <row r="12" spans="1:19" x14ac:dyDescent="0.25">
      <c r="A12">
        <v>1</v>
      </c>
      <c r="B12" t="s">
        <v>35</v>
      </c>
      <c r="C12">
        <v>1</v>
      </c>
      <c r="D12" t="s">
        <v>0</v>
      </c>
      <c r="E12">
        <v>1</v>
      </c>
      <c r="F12" t="s">
        <v>0</v>
      </c>
      <c r="G12">
        <v>9</v>
      </c>
      <c r="H12" t="s">
        <v>79</v>
      </c>
      <c r="I12">
        <v>9</v>
      </c>
      <c r="J12" t="s">
        <v>19</v>
      </c>
      <c r="K12" s="10">
        <f>SUMIFS(Planilha1!G:G,Planilha1!H:H,Ativo!G:G,Planilha1!I:I,Ativo!H:H)/1000</f>
        <v>12681.464460000001</v>
      </c>
      <c r="L12" s="10">
        <v>12681.464460000001</v>
      </c>
      <c r="M12" s="10">
        <v>11926.401750000001</v>
      </c>
      <c r="N12" s="10">
        <v>19196.65524</v>
      </c>
      <c r="O12" s="10">
        <v>18305.590359999998</v>
      </c>
      <c r="P12" s="10">
        <v>13426.051240000001</v>
      </c>
      <c r="Q12" s="10">
        <v>13279.39471</v>
      </c>
      <c r="R12" s="10">
        <v>0</v>
      </c>
      <c r="S12" s="10">
        <v>0</v>
      </c>
    </row>
    <row r="13" spans="1:19" x14ac:dyDescent="0.25">
      <c r="A13">
        <v>1</v>
      </c>
      <c r="B13" t="s">
        <v>35</v>
      </c>
      <c r="C13">
        <v>2</v>
      </c>
      <c r="D13" t="s">
        <v>20</v>
      </c>
      <c r="E13">
        <v>2</v>
      </c>
      <c r="F13" t="s">
        <v>21</v>
      </c>
      <c r="G13">
        <v>10</v>
      </c>
      <c r="H13" t="s">
        <v>22</v>
      </c>
      <c r="I13">
        <v>10</v>
      </c>
      <c r="J13" t="s">
        <v>22</v>
      </c>
      <c r="K13" s="10">
        <f>SUMIFS(Planilha1!G:G,Planilha1!H:H,Ativo!G:G,Planilha1!I:I,Ativo!H:H)/1000</f>
        <v>7133.2548499999994</v>
      </c>
      <c r="L13" s="10">
        <v>7133.2548499999994</v>
      </c>
      <c r="M13" s="10">
        <v>2409.9649100000001</v>
      </c>
      <c r="N13" s="10">
        <v>301.35161999999997</v>
      </c>
      <c r="O13" s="10">
        <v>1020</v>
      </c>
      <c r="P13" s="10">
        <v>8513.4035899999999</v>
      </c>
      <c r="Q13" s="10">
        <v>9905.9505000000008</v>
      </c>
      <c r="R13" s="10">
        <v>9905.9505000000008</v>
      </c>
      <c r="S13" s="10">
        <v>9657.2368900000001</v>
      </c>
    </row>
    <row r="14" spans="1:19" x14ac:dyDescent="0.25">
      <c r="A14">
        <v>1</v>
      </c>
      <c r="B14" t="s">
        <v>35</v>
      </c>
      <c r="C14">
        <v>2</v>
      </c>
      <c r="D14" t="s">
        <v>20</v>
      </c>
      <c r="E14">
        <v>2</v>
      </c>
      <c r="F14" t="s">
        <v>21</v>
      </c>
      <c r="G14">
        <v>11</v>
      </c>
      <c r="H14" t="s">
        <v>18</v>
      </c>
      <c r="I14">
        <v>11</v>
      </c>
      <c r="J14" t="s">
        <v>23</v>
      </c>
      <c r="K14" s="10">
        <f>SUMIFS(Planilha1!G:G,Planilha1!H:H,Ativo!G:G,Planilha1!I:I,Ativo!H:H)/1000</f>
        <v>586.04923999999994</v>
      </c>
      <c r="L14" s="10">
        <v>548.02873</v>
      </c>
      <c r="M14" s="10">
        <v>504.30426</v>
      </c>
      <c r="N14" s="10">
        <v>639.83646999999996</v>
      </c>
      <c r="O14" s="10">
        <v>451.18840999999998</v>
      </c>
      <c r="P14" s="10">
        <v>228.58744000000002</v>
      </c>
      <c r="Q14" s="10">
        <v>202.59042000000002</v>
      </c>
      <c r="R14" s="10">
        <v>152.80207999999999</v>
      </c>
      <c r="S14" s="10">
        <v>35.173459999999999</v>
      </c>
    </row>
    <row r="15" spans="1:19" x14ac:dyDescent="0.25">
      <c r="A15">
        <v>1</v>
      </c>
      <c r="B15" t="s">
        <v>35</v>
      </c>
      <c r="C15">
        <v>2</v>
      </c>
      <c r="D15" t="s">
        <v>20</v>
      </c>
      <c r="E15">
        <v>2</v>
      </c>
      <c r="F15" t="s">
        <v>21</v>
      </c>
      <c r="G15">
        <v>12</v>
      </c>
      <c r="H15" t="s">
        <v>78</v>
      </c>
      <c r="I15">
        <v>12</v>
      </c>
      <c r="J15" t="s">
        <v>24</v>
      </c>
      <c r="K15" s="10">
        <f>SUMIFS(Planilha1!G:G,Planilha1!H:H,Ativo!G:G,Planilha1!I:I,Ativo!H:H)/1000</f>
        <v>0</v>
      </c>
      <c r="L15" s="10">
        <v>0</v>
      </c>
      <c r="M15" s="10">
        <v>0</v>
      </c>
      <c r="N15" s="10"/>
      <c r="O15" s="10">
        <v>0</v>
      </c>
      <c r="P15" s="10">
        <v>0</v>
      </c>
      <c r="Q15" s="10">
        <v>7473.3843499999994</v>
      </c>
      <c r="R15" s="10">
        <v>7473.3843499999994</v>
      </c>
      <c r="S15" s="10">
        <v>7473.3843499999994</v>
      </c>
    </row>
    <row r="16" spans="1:19" x14ac:dyDescent="0.25">
      <c r="A16">
        <v>1</v>
      </c>
      <c r="B16" t="s">
        <v>35</v>
      </c>
      <c r="C16">
        <v>2</v>
      </c>
      <c r="D16" t="s">
        <v>20</v>
      </c>
      <c r="E16">
        <v>2</v>
      </c>
      <c r="F16" t="s">
        <v>21</v>
      </c>
      <c r="G16">
        <v>13</v>
      </c>
      <c r="H16" t="s">
        <v>9</v>
      </c>
      <c r="I16">
        <v>13</v>
      </c>
      <c r="J16" t="s">
        <v>25</v>
      </c>
      <c r="K16" s="10">
        <f>SUMIFS(Planilha1!G:G,Planilha1!H:H,Ativo!G:G,Planilha1!I:I,Ativo!H:H)/1000</f>
        <v>45.709270000000004</v>
      </c>
      <c r="L16" s="10">
        <v>45.709270000000004</v>
      </c>
      <c r="M16" s="10">
        <v>45.709270000000004</v>
      </c>
      <c r="N16" s="10"/>
      <c r="O16" s="10">
        <v>0</v>
      </c>
      <c r="P16" s="10">
        <v>0</v>
      </c>
      <c r="Q16" s="10">
        <v>1270.2802300000001</v>
      </c>
      <c r="R16" s="10">
        <v>1270.2802300000001</v>
      </c>
      <c r="S16" s="10">
        <v>1270.2802300000001</v>
      </c>
    </row>
    <row r="17" spans="1:19" x14ac:dyDescent="0.25">
      <c r="A17">
        <v>1</v>
      </c>
      <c r="B17" t="s">
        <v>35</v>
      </c>
      <c r="C17">
        <v>2</v>
      </c>
      <c r="D17" t="s">
        <v>20</v>
      </c>
      <c r="E17">
        <v>3</v>
      </c>
      <c r="F17" t="s">
        <v>26</v>
      </c>
      <c r="G17">
        <v>14</v>
      </c>
      <c r="H17" t="s">
        <v>26</v>
      </c>
      <c r="I17">
        <v>14</v>
      </c>
      <c r="J17" t="s">
        <v>27</v>
      </c>
      <c r="K17" s="10">
        <f>SUMIFS(Planilha1!G:G,Planilha1!H:H,Ativo!G:G,Planilha1!I:I,Ativo!H:H)/1000</f>
        <v>9540.8483799999995</v>
      </c>
      <c r="L17" s="10">
        <v>19630.318369999994</v>
      </c>
      <c r="M17" s="10">
        <v>14821.017619999997</v>
      </c>
      <c r="N17" s="10">
        <v>11375.29269</v>
      </c>
      <c r="O17" s="10">
        <v>9541</v>
      </c>
      <c r="P17" s="10">
        <v>287.62948999999998</v>
      </c>
      <c r="Q17" s="10">
        <v>16946.51381</v>
      </c>
      <c r="R17" s="10">
        <v>16946.51381</v>
      </c>
      <c r="S17" s="10">
        <v>16946.51381</v>
      </c>
    </row>
    <row r="18" spans="1:19" x14ac:dyDescent="0.25">
      <c r="A18">
        <v>1</v>
      </c>
      <c r="B18" t="s">
        <v>35</v>
      </c>
      <c r="C18">
        <v>2</v>
      </c>
      <c r="D18" t="s">
        <v>20</v>
      </c>
      <c r="E18">
        <v>4</v>
      </c>
      <c r="F18" t="s">
        <v>28</v>
      </c>
      <c r="G18">
        <v>15</v>
      </c>
      <c r="H18" t="s">
        <v>28</v>
      </c>
      <c r="I18">
        <v>15</v>
      </c>
      <c r="J18" t="s">
        <v>29</v>
      </c>
      <c r="K18" s="10">
        <f>SUMIFS(Planilha1!G:G,Planilha1!H:H,Ativo!G:G,Planilha1!I:I,Ativo!H:H)/1000</f>
        <v>177930.67154000004</v>
      </c>
      <c r="L18" s="10">
        <v>177797.30904999998</v>
      </c>
      <c r="M18" s="10">
        <v>188499.74766999998</v>
      </c>
      <c r="N18" s="11">
        <v>158670.30341999998</v>
      </c>
      <c r="O18" s="11">
        <v>150501.00894</v>
      </c>
      <c r="P18" s="11">
        <v>131400.18990999999</v>
      </c>
      <c r="Q18" s="11">
        <v>113031.6925</v>
      </c>
      <c r="R18" s="11">
        <v>100460.31127999999</v>
      </c>
      <c r="S18" s="11">
        <v>90783.302909999999</v>
      </c>
    </row>
  </sheetData>
  <conditionalFormatting sqref="H2:H18">
    <cfRule type="duplicateValues" dxfId="101" priority="1"/>
  </conditionalFormatting>
  <conditionalFormatting sqref="J2:N18">
    <cfRule type="duplicateValues" dxfId="100" priority="2"/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4A51-D17C-4788-8570-07043155FCD4}">
  <dimension ref="A1:S36"/>
  <sheetViews>
    <sheetView topLeftCell="H1" workbookViewId="0">
      <selection activeCell="K2" sqref="K2"/>
    </sheetView>
  </sheetViews>
  <sheetFormatPr defaultRowHeight="15" x14ac:dyDescent="0.25"/>
  <cols>
    <col min="1" max="1" width="11.28515625" bestFit="1" customWidth="1"/>
    <col min="3" max="3" width="12.28515625" customWidth="1"/>
    <col min="4" max="4" width="17.7109375" bestFit="1" customWidth="1"/>
    <col min="5" max="5" width="17.7109375" customWidth="1"/>
    <col min="6" max="6" width="21.42578125" bestFit="1" customWidth="1"/>
    <col min="7" max="7" width="21.42578125" customWidth="1"/>
    <col min="8" max="8" width="37.140625" bestFit="1" customWidth="1"/>
    <col min="9" max="9" width="15.5703125" customWidth="1"/>
    <col min="10" max="10" width="35.140625" bestFit="1" customWidth="1"/>
    <col min="11" max="13" width="18.85546875" customWidth="1"/>
    <col min="14" max="14" width="14" customWidth="1"/>
    <col min="15" max="15" width="11.28515625" bestFit="1" customWidth="1"/>
    <col min="16" max="18" width="12.7109375" bestFit="1" customWidth="1"/>
    <col min="19" max="19" width="12" bestFit="1" customWidth="1"/>
  </cols>
  <sheetData>
    <row r="1" spans="1:19" s="2" customFormat="1" x14ac:dyDescent="0.25">
      <c r="A1" s="2" t="s">
        <v>73</v>
      </c>
      <c r="B1" s="2" t="s">
        <v>34</v>
      </c>
      <c r="C1" s="2" t="s">
        <v>75</v>
      </c>
      <c r="D1" s="2" t="s">
        <v>30</v>
      </c>
      <c r="E1" s="2" t="s">
        <v>74</v>
      </c>
      <c r="F1" s="2" t="s">
        <v>69</v>
      </c>
      <c r="G1" s="2" t="s">
        <v>77</v>
      </c>
      <c r="H1" s="2" t="s">
        <v>32</v>
      </c>
      <c r="I1" s="2" t="s">
        <v>70</v>
      </c>
      <c r="J1" s="2" t="s">
        <v>33</v>
      </c>
      <c r="K1" s="12">
        <v>46142</v>
      </c>
      <c r="L1" s="12">
        <v>46022</v>
      </c>
      <c r="M1" s="12">
        <v>45657</v>
      </c>
      <c r="N1" s="12">
        <v>45291</v>
      </c>
      <c r="O1" s="12">
        <v>44926</v>
      </c>
      <c r="P1" s="12">
        <v>44561</v>
      </c>
      <c r="Q1" s="12">
        <v>44196</v>
      </c>
      <c r="R1" s="12">
        <v>43830</v>
      </c>
      <c r="S1" s="12">
        <v>43465</v>
      </c>
    </row>
    <row r="2" spans="1:19" x14ac:dyDescent="0.25">
      <c r="A2">
        <v>2</v>
      </c>
      <c r="B2" t="s">
        <v>68</v>
      </c>
      <c r="C2">
        <v>1</v>
      </c>
      <c r="D2" t="s">
        <v>36</v>
      </c>
      <c r="E2">
        <v>1</v>
      </c>
      <c r="F2" t="s">
        <v>36</v>
      </c>
      <c r="G2">
        <v>1</v>
      </c>
      <c r="H2" t="s">
        <v>37</v>
      </c>
      <c r="I2">
        <v>1</v>
      </c>
      <c r="J2" t="s">
        <v>38</v>
      </c>
      <c r="K2" s="10">
        <f>-SUMIFS(Planilha1!G:G,Planilha1!H:H,passivo!I2,Planilha1!I:I,passivo!J2)/1000</f>
        <v>2224.5227200000004</v>
      </c>
      <c r="L2" s="10">
        <v>2102.8280800000002</v>
      </c>
      <c r="M2" s="10">
        <v>1709.8331099999998</v>
      </c>
      <c r="N2" s="13">
        <v>966.11772999999994</v>
      </c>
      <c r="O2" s="11">
        <v>44.1554</v>
      </c>
      <c r="P2" s="10">
        <v>254.81868</v>
      </c>
      <c r="Q2" s="10">
        <v>0</v>
      </c>
      <c r="R2" s="10">
        <v>71.381960000000007</v>
      </c>
      <c r="S2" s="10">
        <v>181.73491000000001</v>
      </c>
    </row>
    <row r="3" spans="1:19" x14ac:dyDescent="0.25">
      <c r="A3">
        <v>2</v>
      </c>
      <c r="B3" t="s">
        <v>68</v>
      </c>
      <c r="C3">
        <v>1</v>
      </c>
      <c r="D3" t="s">
        <v>36</v>
      </c>
      <c r="E3">
        <v>1</v>
      </c>
      <c r="F3" t="s">
        <v>36</v>
      </c>
      <c r="G3">
        <v>1</v>
      </c>
      <c r="H3" t="s">
        <v>37</v>
      </c>
      <c r="I3">
        <v>1</v>
      </c>
      <c r="J3" t="s">
        <v>39</v>
      </c>
      <c r="K3" s="10">
        <f>-SUMIFS(Planilha1!G:G,Planilha1!H:H,passivo!I3,Planilha1!I:I,passivo!J3)/1000</f>
        <v>0</v>
      </c>
      <c r="L3" s="10">
        <v>0</v>
      </c>
      <c r="M3" s="10">
        <v>0</v>
      </c>
      <c r="N3" s="10">
        <v>0</v>
      </c>
      <c r="O3" s="11">
        <v>0</v>
      </c>
      <c r="P3" s="10">
        <v>0</v>
      </c>
      <c r="Q3" s="10">
        <v>0</v>
      </c>
      <c r="R3" s="10">
        <v>0</v>
      </c>
      <c r="S3" s="10">
        <v>0</v>
      </c>
    </row>
    <row r="4" spans="1:19" x14ac:dyDescent="0.25">
      <c r="A4">
        <v>2</v>
      </c>
      <c r="B4" t="s">
        <v>68</v>
      </c>
      <c r="C4">
        <v>1</v>
      </c>
      <c r="D4" t="s">
        <v>36</v>
      </c>
      <c r="E4">
        <v>1</v>
      </c>
      <c r="F4" t="s">
        <v>36</v>
      </c>
      <c r="G4">
        <v>1</v>
      </c>
      <c r="H4" t="s">
        <v>37</v>
      </c>
      <c r="I4">
        <v>1</v>
      </c>
      <c r="J4" t="s">
        <v>1193</v>
      </c>
      <c r="K4" s="10">
        <f>-SUMIFS(Planilha1!G:G,Planilha1!H:H,passivo!I4,Planilha1!I:I,passivo!J4)/1000</f>
        <v>9977.2000000000007</v>
      </c>
      <c r="L4" s="10">
        <v>11003.6</v>
      </c>
      <c r="M4" s="10">
        <v>0</v>
      </c>
      <c r="N4" s="10">
        <v>0</v>
      </c>
      <c r="O4" s="11">
        <v>0</v>
      </c>
      <c r="P4" s="10">
        <v>0</v>
      </c>
      <c r="Q4" s="10">
        <v>0</v>
      </c>
      <c r="R4" s="10">
        <v>0</v>
      </c>
      <c r="S4" s="10">
        <v>0</v>
      </c>
    </row>
    <row r="5" spans="1:19" x14ac:dyDescent="0.25">
      <c r="A5">
        <v>2</v>
      </c>
      <c r="B5" t="s">
        <v>68</v>
      </c>
      <c r="C5">
        <v>1</v>
      </c>
      <c r="D5" t="s">
        <v>36</v>
      </c>
      <c r="E5">
        <v>1</v>
      </c>
      <c r="F5" t="s">
        <v>36</v>
      </c>
      <c r="G5">
        <v>2</v>
      </c>
      <c r="H5" t="s">
        <v>40</v>
      </c>
      <c r="I5">
        <v>2</v>
      </c>
      <c r="J5" t="s">
        <v>71</v>
      </c>
      <c r="K5" s="10">
        <f>-SUMIFS(Planilha1!G:G,Planilha1!H:H,passivo!I5,Planilha1!I:I,passivo!J5)/1000</f>
        <v>41696.17093</v>
      </c>
      <c r="L5" s="10">
        <v>49552.033530000001</v>
      </c>
      <c r="M5" s="10">
        <v>52341.677720000007</v>
      </c>
      <c r="N5" s="13">
        <v>24287.036829999997</v>
      </c>
      <c r="O5" s="11">
        <v>26824.09072</v>
      </c>
      <c r="P5" s="10">
        <v>17365.339809999998</v>
      </c>
      <c r="Q5" s="10">
        <v>54414.104399999997</v>
      </c>
      <c r="R5" s="10">
        <v>50425.459130000003</v>
      </c>
      <c r="S5" s="10">
        <v>53420.365600000005</v>
      </c>
    </row>
    <row r="6" spans="1:19" x14ac:dyDescent="0.25">
      <c r="A6">
        <v>2</v>
      </c>
      <c r="B6" t="s">
        <v>68</v>
      </c>
      <c r="C6">
        <v>1</v>
      </c>
      <c r="D6" t="s">
        <v>36</v>
      </c>
      <c r="E6">
        <v>1</v>
      </c>
      <c r="F6" t="s">
        <v>36</v>
      </c>
      <c r="G6">
        <v>3</v>
      </c>
      <c r="H6" t="s">
        <v>42</v>
      </c>
      <c r="I6">
        <v>3</v>
      </c>
      <c r="J6" t="s">
        <v>43</v>
      </c>
      <c r="K6" s="10">
        <f>-SUMIFS(Planilha1!G:G,Planilha1!H:H,passivo!I6,Planilha1!I:I,passivo!J6)/1000</f>
        <v>600.80933000000005</v>
      </c>
      <c r="L6" s="10">
        <v>4070.6260600000005</v>
      </c>
      <c r="M6" s="10">
        <v>3479.3739299999997</v>
      </c>
      <c r="N6" s="13">
        <v>20962.112219999999</v>
      </c>
      <c r="O6" s="11">
        <v>21242.188559999999</v>
      </c>
      <c r="P6" s="10">
        <v>137684.12698</v>
      </c>
      <c r="Q6" s="10">
        <v>140208.33680000002</v>
      </c>
      <c r="R6" s="10">
        <v>123209.59753</v>
      </c>
      <c r="S6" s="10">
        <v>116899.46028</v>
      </c>
    </row>
    <row r="7" spans="1:19" x14ac:dyDescent="0.25">
      <c r="A7">
        <v>2</v>
      </c>
      <c r="B7" t="s">
        <v>68</v>
      </c>
      <c r="C7">
        <v>1</v>
      </c>
      <c r="D7" t="s">
        <v>36</v>
      </c>
      <c r="E7">
        <v>1</v>
      </c>
      <c r="F7" t="s">
        <v>36</v>
      </c>
      <c r="G7">
        <v>3</v>
      </c>
      <c r="H7" t="s">
        <v>42</v>
      </c>
      <c r="I7">
        <v>3</v>
      </c>
      <c r="J7" t="s">
        <v>44</v>
      </c>
      <c r="K7" s="10">
        <f>-SUMIFS(Planilha1!G:G,Planilha1!H:H,passivo!I7,Planilha1!I:I,passivo!J7)/1000</f>
        <v>228.50876</v>
      </c>
      <c r="L7" s="10">
        <v>702.75864000000001</v>
      </c>
      <c r="M7" s="10">
        <v>776.47262999999998</v>
      </c>
      <c r="N7" s="13">
        <v>766.14695999999992</v>
      </c>
      <c r="O7" s="11">
        <v>555.98983999999996</v>
      </c>
      <c r="P7" s="10">
        <v>1824.7660700000001</v>
      </c>
      <c r="Q7" s="10">
        <v>1226.92156</v>
      </c>
      <c r="R7" s="10">
        <v>1013.46576</v>
      </c>
      <c r="S7" s="10">
        <v>1022.91698</v>
      </c>
    </row>
    <row r="8" spans="1:19" x14ac:dyDescent="0.25">
      <c r="A8">
        <v>2</v>
      </c>
      <c r="B8" t="s">
        <v>68</v>
      </c>
      <c r="C8">
        <v>1</v>
      </c>
      <c r="D8" t="s">
        <v>36</v>
      </c>
      <c r="E8">
        <v>1</v>
      </c>
      <c r="F8" t="s">
        <v>36</v>
      </c>
      <c r="G8">
        <v>4</v>
      </c>
      <c r="H8" t="s">
        <v>45</v>
      </c>
      <c r="I8">
        <v>4</v>
      </c>
      <c r="J8" t="s">
        <v>46</v>
      </c>
      <c r="K8" s="10">
        <f>-SUMIFS(Planilha1!G:G,Planilha1!H:H,passivo!I8,Planilha1!I:I,passivo!J8)/1000</f>
        <v>1922.6115300000001</v>
      </c>
      <c r="L8" s="10">
        <v>5613.3569299999999</v>
      </c>
      <c r="M8" s="10">
        <v>5196.9167500000003</v>
      </c>
      <c r="N8" s="13">
        <v>6458.2818099999995</v>
      </c>
      <c r="O8" s="11">
        <v>6086.3670199999997</v>
      </c>
      <c r="P8" s="10">
        <v>4951.1398200000003</v>
      </c>
      <c r="Q8" s="10">
        <v>17552.415079999999</v>
      </c>
      <c r="R8" s="10">
        <v>17216.83077</v>
      </c>
      <c r="S8" s="10">
        <v>16802.40007</v>
      </c>
    </row>
    <row r="9" spans="1:19" x14ac:dyDescent="0.25">
      <c r="A9">
        <v>2</v>
      </c>
      <c r="B9" t="s">
        <v>68</v>
      </c>
      <c r="C9">
        <v>1</v>
      </c>
      <c r="D9" t="s">
        <v>36</v>
      </c>
      <c r="E9">
        <v>1</v>
      </c>
      <c r="F9" t="s">
        <v>36</v>
      </c>
      <c r="G9">
        <v>4</v>
      </c>
      <c r="H9" t="s">
        <v>45</v>
      </c>
      <c r="I9">
        <v>4</v>
      </c>
      <c r="J9" t="s">
        <v>47</v>
      </c>
      <c r="K9" s="10">
        <f>-SUMIFS(Planilha1!G:G,Planilha1!H:H,passivo!I9,Planilha1!I:I,passivo!J9)/1000</f>
        <v>8042.9864600000001</v>
      </c>
      <c r="L9" s="10">
        <v>9414.9126799999995</v>
      </c>
      <c r="M9" s="10">
        <v>9030.2150399999991</v>
      </c>
      <c r="N9" s="13">
        <v>8035.72037</v>
      </c>
      <c r="O9" s="11">
        <v>6832.45255</v>
      </c>
      <c r="P9" s="10">
        <v>5870.9301999999998</v>
      </c>
      <c r="Q9" s="10">
        <v>4725.8313699999999</v>
      </c>
      <c r="R9" s="10">
        <v>4249.2400900000002</v>
      </c>
      <c r="S9" s="10">
        <v>3662.4922700000002</v>
      </c>
    </row>
    <row r="10" spans="1:19" x14ac:dyDescent="0.25">
      <c r="A10">
        <v>2</v>
      </c>
      <c r="B10" t="s">
        <v>68</v>
      </c>
      <c r="C10">
        <v>1</v>
      </c>
      <c r="D10" t="s">
        <v>36</v>
      </c>
      <c r="E10">
        <v>1</v>
      </c>
      <c r="F10" t="s">
        <v>36</v>
      </c>
      <c r="G10">
        <v>4</v>
      </c>
      <c r="H10" t="s">
        <v>45</v>
      </c>
      <c r="I10">
        <v>4</v>
      </c>
      <c r="J10" t="s">
        <v>48</v>
      </c>
      <c r="K10" s="10">
        <f>-SUMIFS(Planilha1!G:G,Planilha1!H:H,passivo!I10,Planilha1!I:I,passivo!J10)/1000</f>
        <v>0</v>
      </c>
      <c r="L10" s="10">
        <v>0</v>
      </c>
      <c r="M10" s="10">
        <v>0</v>
      </c>
      <c r="N10" s="10"/>
      <c r="O10" s="11"/>
      <c r="P10" s="10"/>
      <c r="Q10" s="10">
        <v>15137.35169</v>
      </c>
      <c r="R10" s="10">
        <v>15137.35169</v>
      </c>
      <c r="S10" s="10">
        <v>13417.094929999999</v>
      </c>
    </row>
    <row r="11" spans="1:19" x14ac:dyDescent="0.25">
      <c r="A11">
        <v>2</v>
      </c>
      <c r="B11" t="s">
        <v>68</v>
      </c>
      <c r="C11">
        <v>1</v>
      </c>
      <c r="D11" t="s">
        <v>36</v>
      </c>
      <c r="E11">
        <v>1</v>
      </c>
      <c r="F11" t="s">
        <v>36</v>
      </c>
      <c r="G11">
        <v>5</v>
      </c>
      <c r="H11" t="s">
        <v>49</v>
      </c>
      <c r="I11">
        <v>5</v>
      </c>
      <c r="J11" t="s">
        <v>49</v>
      </c>
      <c r="K11" s="10">
        <f>-SUMIFS(Planilha1!G:G,Planilha1!H:H,passivo!I11,Planilha1!I:I,passivo!J11)/1000</f>
        <v>19795.166130000001</v>
      </c>
      <c r="L11" s="10">
        <v>15203.461569999999</v>
      </c>
      <c r="M11" s="10">
        <v>14229.107759999999</v>
      </c>
      <c r="N11" s="13">
        <v>12160.308140000001</v>
      </c>
      <c r="O11" s="11">
        <v>11846.25966</v>
      </c>
      <c r="P11" s="10">
        <v>2846.7081699999999</v>
      </c>
      <c r="Q11" s="10">
        <v>1843.9203500000001</v>
      </c>
      <c r="R11" s="10">
        <v>1476.06</v>
      </c>
      <c r="S11" s="10">
        <v>1419.0265200000001</v>
      </c>
    </row>
    <row r="12" spans="1:19" x14ac:dyDescent="0.25">
      <c r="A12">
        <v>2</v>
      </c>
      <c r="B12" t="s">
        <v>68</v>
      </c>
      <c r="C12">
        <v>1</v>
      </c>
      <c r="D12" t="s">
        <v>36</v>
      </c>
      <c r="E12">
        <v>1</v>
      </c>
      <c r="F12" t="s">
        <v>36</v>
      </c>
      <c r="G12">
        <v>6</v>
      </c>
      <c r="H12" t="s">
        <v>50</v>
      </c>
      <c r="I12">
        <v>6</v>
      </c>
      <c r="J12" t="s">
        <v>50</v>
      </c>
      <c r="K12" s="10">
        <f>-SUMIFS(Planilha1!G:G,Planilha1!H:H,passivo!I12,Planilha1!I:I,passivo!J12)/1000</f>
        <v>54358.926630000002</v>
      </c>
      <c r="L12" s="10">
        <v>53607.42828</v>
      </c>
      <c r="M12" s="10">
        <v>26596.05128</v>
      </c>
      <c r="N12" s="13">
        <v>22429.353749999998</v>
      </c>
      <c r="O12" s="11">
        <v>18891.011739999998</v>
      </c>
      <c r="P12" s="10">
        <v>8774.451509999999</v>
      </c>
      <c r="Q12" s="10">
        <v>28975.586280000003</v>
      </c>
      <c r="R12" s="10">
        <v>12145.484899999999</v>
      </c>
      <c r="S12" s="10">
        <v>5110.5909900000006</v>
      </c>
    </row>
    <row r="13" spans="1:19" x14ac:dyDescent="0.25">
      <c r="A13">
        <v>2</v>
      </c>
      <c r="B13" t="s">
        <v>68</v>
      </c>
      <c r="C13">
        <v>1</v>
      </c>
      <c r="D13" t="s">
        <v>36</v>
      </c>
      <c r="E13">
        <v>1</v>
      </c>
      <c r="F13" t="s">
        <v>36</v>
      </c>
      <c r="G13">
        <v>7</v>
      </c>
      <c r="H13" t="s">
        <v>51</v>
      </c>
      <c r="I13">
        <v>7</v>
      </c>
      <c r="J13" t="s">
        <v>39</v>
      </c>
      <c r="K13" s="10">
        <f>-SUMIFS(Planilha1!G:G,Planilha1!H:H,passivo!I13,Planilha1!I:I,passivo!J13)/1000</f>
        <v>-2018.36205</v>
      </c>
      <c r="L13" s="10">
        <v>-1496.52871</v>
      </c>
      <c r="M13" s="10">
        <v>-175.08927</v>
      </c>
      <c r="N13" s="13">
        <v>-168.49994000000001</v>
      </c>
      <c r="O13" s="11">
        <v>75</v>
      </c>
      <c r="P13" s="10">
        <v>75</v>
      </c>
      <c r="Q13" s="10">
        <v>1178.7378799999999</v>
      </c>
      <c r="R13" s="10">
        <v>3906.25</v>
      </c>
      <c r="S13" s="10">
        <v>10205</v>
      </c>
    </row>
    <row r="14" spans="1:19" x14ac:dyDescent="0.25">
      <c r="A14">
        <v>2</v>
      </c>
      <c r="B14" t="s">
        <v>68</v>
      </c>
      <c r="C14">
        <v>1</v>
      </c>
      <c r="D14" t="s">
        <v>36</v>
      </c>
      <c r="E14">
        <v>1</v>
      </c>
      <c r="F14" t="s">
        <v>36</v>
      </c>
      <c r="G14">
        <v>7</v>
      </c>
      <c r="H14" t="s">
        <v>51</v>
      </c>
      <c r="I14">
        <v>7</v>
      </c>
      <c r="J14" t="s">
        <v>80</v>
      </c>
      <c r="K14" s="10">
        <f>-SUMIFS(Planilha1!G:G,Planilha1!H:H,passivo!I14,Planilha1!I:I,passivo!J14)/1000</f>
        <v>10525.668369999999</v>
      </c>
      <c r="L14" s="10">
        <v>5220</v>
      </c>
      <c r="M14" s="10">
        <v>3648</v>
      </c>
      <c r="N14" s="13">
        <v>2780.6750000000002</v>
      </c>
      <c r="O14" s="11"/>
      <c r="P14" s="10"/>
      <c r="Q14" s="10"/>
      <c r="R14" s="10"/>
      <c r="S14" s="10"/>
    </row>
    <row r="15" spans="1:19" x14ac:dyDescent="0.25">
      <c r="A15">
        <v>2</v>
      </c>
      <c r="B15" t="s">
        <v>68</v>
      </c>
      <c r="C15">
        <v>1</v>
      </c>
      <c r="D15" t="s">
        <v>36</v>
      </c>
      <c r="E15">
        <v>1</v>
      </c>
      <c r="F15" t="s">
        <v>36</v>
      </c>
      <c r="G15">
        <v>8</v>
      </c>
      <c r="H15" t="s">
        <v>76</v>
      </c>
      <c r="I15">
        <v>8</v>
      </c>
      <c r="J15" t="s">
        <v>52</v>
      </c>
      <c r="K15" s="10">
        <f>-SUMIFS(Planilha1!G:G,Planilha1!H:H,passivo!I15,Planilha1!I:I,passivo!J15)/1000</f>
        <v>497.60204999999996</v>
      </c>
      <c r="L15" s="10">
        <v>347.96710999999999</v>
      </c>
      <c r="M15" s="10">
        <v>464.86735999999996</v>
      </c>
      <c r="N15" s="13">
        <v>354.21834999999999</v>
      </c>
      <c r="O15" s="11">
        <v>310.39648</v>
      </c>
      <c r="P15" s="10">
        <v>221.52221</v>
      </c>
      <c r="Q15" s="10">
        <v>3183.4719400000013</v>
      </c>
      <c r="R15" s="10">
        <v>5401.6705399999992</v>
      </c>
      <c r="S15" s="10">
        <v>5296.4325600000011</v>
      </c>
    </row>
    <row r="16" spans="1:19" x14ac:dyDescent="0.25">
      <c r="A16">
        <v>2</v>
      </c>
      <c r="B16" t="s">
        <v>68</v>
      </c>
      <c r="C16">
        <v>1</v>
      </c>
      <c r="D16" t="s">
        <v>36</v>
      </c>
      <c r="E16">
        <v>1</v>
      </c>
      <c r="F16" t="s">
        <v>36</v>
      </c>
      <c r="G16">
        <v>8</v>
      </c>
      <c r="H16" t="s">
        <v>76</v>
      </c>
      <c r="I16">
        <v>8</v>
      </c>
      <c r="J16" t="s">
        <v>53</v>
      </c>
      <c r="K16" s="10">
        <f>-SUMIFS(Planilha1!G:G,Planilha1!H:H,passivo!I16,Planilha1!I:I,passivo!J16)/1000</f>
        <v>0</v>
      </c>
      <c r="L16" s="10">
        <v>0</v>
      </c>
      <c r="M16" s="10">
        <v>2072.5644400000001</v>
      </c>
      <c r="N16" s="13">
        <v>442.03050000000002</v>
      </c>
      <c r="O16" s="11">
        <v>457.16663</v>
      </c>
      <c r="P16" s="10">
        <v>181.0693</v>
      </c>
      <c r="Q16" s="10">
        <v>508.93397999999996</v>
      </c>
      <c r="R16" s="10">
        <v>344.86935999999997</v>
      </c>
      <c r="S16" s="10">
        <v>384.42235999999997</v>
      </c>
    </row>
    <row r="17" spans="1:19" x14ac:dyDescent="0.25">
      <c r="A17">
        <v>2</v>
      </c>
      <c r="B17" t="s">
        <v>68</v>
      </c>
      <c r="C17">
        <v>1</v>
      </c>
      <c r="D17" t="s">
        <v>36</v>
      </c>
      <c r="E17">
        <v>1</v>
      </c>
      <c r="F17" t="s">
        <v>36</v>
      </c>
      <c r="G17">
        <v>8</v>
      </c>
      <c r="H17" t="s">
        <v>1090</v>
      </c>
      <c r="I17">
        <v>8</v>
      </c>
      <c r="J17" t="s">
        <v>1073</v>
      </c>
      <c r="K17" s="10">
        <f>-SUMIFS(Planilha1!G:G,Planilha1!H:H,passivo!I17,Planilha1!I:I,passivo!J17)/1000</f>
        <v>0</v>
      </c>
      <c r="L17" s="10">
        <v>0</v>
      </c>
      <c r="M17" s="10">
        <v>222.3</v>
      </c>
      <c r="N17" s="13">
        <v>442.03050000000002</v>
      </c>
      <c r="O17" s="11">
        <v>457.16663</v>
      </c>
      <c r="P17" s="10">
        <v>181.0693</v>
      </c>
      <c r="Q17" s="10">
        <v>508.93397999999996</v>
      </c>
      <c r="R17" s="10">
        <v>344.86935999999997</v>
      </c>
      <c r="S17" s="10">
        <v>384.42235999999997</v>
      </c>
    </row>
    <row r="18" spans="1:19" x14ac:dyDescent="0.25">
      <c r="A18">
        <v>2</v>
      </c>
      <c r="B18" t="s">
        <v>68</v>
      </c>
      <c r="C18">
        <v>1</v>
      </c>
      <c r="D18" t="s">
        <v>36</v>
      </c>
      <c r="E18">
        <v>1</v>
      </c>
      <c r="F18" t="s">
        <v>36</v>
      </c>
      <c r="G18">
        <v>9</v>
      </c>
      <c r="H18" t="s">
        <v>1125</v>
      </c>
      <c r="I18">
        <v>9</v>
      </c>
      <c r="J18" t="s">
        <v>1125</v>
      </c>
      <c r="K18" s="10">
        <f>-SUMIFS(Planilha1!G:G,Planilha1!H:H,passivo!I18,Planilha1!I:I,passivo!J18)/1000</f>
        <v>633.89326000000005</v>
      </c>
      <c r="L18" s="10">
        <v>633.89326000000005</v>
      </c>
      <c r="M18" s="10">
        <v>0</v>
      </c>
      <c r="N18" s="13">
        <v>0</v>
      </c>
      <c r="O18" s="11">
        <v>0</v>
      </c>
      <c r="P18" s="10">
        <v>0</v>
      </c>
      <c r="Q18" s="10">
        <v>0</v>
      </c>
      <c r="R18" s="10">
        <v>0</v>
      </c>
      <c r="S18" s="10">
        <v>0</v>
      </c>
    </row>
    <row r="19" spans="1:19" x14ac:dyDescent="0.25">
      <c r="A19">
        <v>2</v>
      </c>
      <c r="B19" t="s">
        <v>68</v>
      </c>
      <c r="C19">
        <v>1</v>
      </c>
      <c r="D19" t="s">
        <v>36</v>
      </c>
      <c r="E19">
        <v>1</v>
      </c>
      <c r="F19" t="s">
        <v>36</v>
      </c>
      <c r="G19">
        <v>24</v>
      </c>
      <c r="H19" t="s">
        <v>1226</v>
      </c>
      <c r="I19">
        <v>24</v>
      </c>
      <c r="J19" t="s">
        <v>1226</v>
      </c>
      <c r="K19" s="10">
        <f>-SUMIFS(Planilha1!G:G,Planilha1!H:H,passivo!I19,Planilha1!I:I,passivo!J19)/1000</f>
        <v>15108.030289999999</v>
      </c>
      <c r="L19" s="10"/>
      <c r="M19" s="10"/>
      <c r="N19" s="13"/>
      <c r="O19" s="11"/>
      <c r="P19" s="10"/>
      <c r="Q19" s="10"/>
      <c r="R19" s="10"/>
      <c r="S19" s="10"/>
    </row>
    <row r="20" spans="1:19" x14ac:dyDescent="0.25">
      <c r="A20">
        <v>2</v>
      </c>
      <c r="B20" t="s">
        <v>68</v>
      </c>
      <c r="C20">
        <v>2</v>
      </c>
      <c r="D20" t="s">
        <v>20</v>
      </c>
      <c r="E20">
        <v>2</v>
      </c>
      <c r="F20" t="s">
        <v>72</v>
      </c>
      <c r="G20">
        <v>10</v>
      </c>
      <c r="H20" t="s">
        <v>1077</v>
      </c>
      <c r="I20">
        <v>10</v>
      </c>
      <c r="J20" t="s">
        <v>37</v>
      </c>
      <c r="K20" s="10">
        <f>-SUMIFS(Planilha1!G:G,Planilha1!H:H,passivo!I20,Planilha1!I:I,passivo!J20)/1000</f>
        <v>12371.10318</v>
      </c>
      <c r="L20" s="10">
        <v>25012.33914</v>
      </c>
      <c r="M20" s="10">
        <v>3800.39959</v>
      </c>
      <c r="N20" s="10">
        <v>1915.3724</v>
      </c>
      <c r="O20" s="11">
        <v>0</v>
      </c>
      <c r="P20" s="10">
        <v>44.155419999999999</v>
      </c>
      <c r="Q20" s="10">
        <v>84703.132089999999</v>
      </c>
      <c r="R20" s="10">
        <v>84703.132089999999</v>
      </c>
      <c r="S20" s="10">
        <v>84703.132089999999</v>
      </c>
    </row>
    <row r="21" spans="1:19" x14ac:dyDescent="0.25">
      <c r="A21">
        <v>2</v>
      </c>
      <c r="B21" t="s">
        <v>68</v>
      </c>
      <c r="C21">
        <v>2</v>
      </c>
      <c r="D21" t="s">
        <v>20</v>
      </c>
      <c r="E21">
        <v>2</v>
      </c>
      <c r="F21" t="s">
        <v>72</v>
      </c>
      <c r="G21">
        <v>11</v>
      </c>
      <c r="H21" t="s">
        <v>1076</v>
      </c>
      <c r="I21">
        <v>11</v>
      </c>
      <c r="J21" t="s">
        <v>41</v>
      </c>
      <c r="K21" s="10">
        <f>-SUMIFS(Planilha1!G:G,Planilha1!H:H,passivo!I21,Planilha1!I:I,passivo!J21)/1000</f>
        <v>0</v>
      </c>
      <c r="L21" s="10">
        <v>0</v>
      </c>
      <c r="M21" s="10">
        <v>0</v>
      </c>
      <c r="N21" s="10"/>
      <c r="O21" s="11">
        <v>0</v>
      </c>
      <c r="P21" s="10">
        <v>0</v>
      </c>
      <c r="Q21" s="10">
        <v>3185.0165999999999</v>
      </c>
      <c r="R21" s="10">
        <v>3185.0165999999999</v>
      </c>
      <c r="S21" s="10">
        <v>3185.0165999999999</v>
      </c>
    </row>
    <row r="22" spans="1:19" x14ac:dyDescent="0.25">
      <c r="A22">
        <v>2</v>
      </c>
      <c r="B22" t="s">
        <v>68</v>
      </c>
      <c r="C22">
        <v>2</v>
      </c>
      <c r="D22" t="s">
        <v>20</v>
      </c>
      <c r="E22">
        <v>2</v>
      </c>
      <c r="F22" t="s">
        <v>72</v>
      </c>
      <c r="G22">
        <v>12</v>
      </c>
      <c r="H22" t="s">
        <v>54</v>
      </c>
      <c r="I22">
        <v>12</v>
      </c>
      <c r="J22" t="s">
        <v>54</v>
      </c>
      <c r="K22" s="10">
        <f>-SUMIFS(Planilha1!G:G,Planilha1!H:H,passivo!I22,Planilha1!I:I,passivo!J22)/1000</f>
        <v>0</v>
      </c>
      <c r="L22" s="10">
        <v>0</v>
      </c>
      <c r="M22" s="10">
        <v>0</v>
      </c>
      <c r="N22" s="10"/>
      <c r="O22" s="11">
        <v>0</v>
      </c>
      <c r="P22" s="10">
        <v>0</v>
      </c>
      <c r="Q22" s="10">
        <v>13341.994210000001</v>
      </c>
      <c r="R22" s="10">
        <v>13341.994210000001</v>
      </c>
      <c r="S22" s="10">
        <v>13341.994210000001</v>
      </c>
    </row>
    <row r="23" spans="1:19" x14ac:dyDescent="0.25">
      <c r="A23">
        <v>2</v>
      </c>
      <c r="B23" t="s">
        <v>68</v>
      </c>
      <c r="C23">
        <v>2</v>
      </c>
      <c r="D23" t="s">
        <v>20</v>
      </c>
      <c r="E23">
        <v>2</v>
      </c>
      <c r="F23" t="s">
        <v>72</v>
      </c>
      <c r="G23">
        <v>13</v>
      </c>
      <c r="H23" t="s">
        <v>55</v>
      </c>
      <c r="I23">
        <v>13</v>
      </c>
      <c r="J23" t="s">
        <v>55</v>
      </c>
      <c r="K23" s="10">
        <f>-SUMIFS(Planilha1!G:G,Planilha1!H:H,passivo!I23,Planilha1!I:I,passivo!J23)/1000</f>
        <v>85398.207139999999</v>
      </c>
      <c r="L23" s="10">
        <v>90423.049430000028</v>
      </c>
      <c r="M23" s="10">
        <v>88663.413020000007</v>
      </c>
      <c r="N23" s="10">
        <v>91386.028459999987</v>
      </c>
      <c r="O23" s="11">
        <v>92661.622000000003</v>
      </c>
      <c r="P23" s="10">
        <v>7820.19218</v>
      </c>
      <c r="Q23" s="10">
        <v>5278.5684800000008</v>
      </c>
      <c r="R23" s="10">
        <v>5723.9424100000006</v>
      </c>
      <c r="S23" s="10">
        <v>6984.5271900000007</v>
      </c>
    </row>
    <row r="24" spans="1:19" x14ac:dyDescent="0.25">
      <c r="A24">
        <v>2</v>
      </c>
      <c r="B24" t="s">
        <v>68</v>
      </c>
      <c r="C24">
        <v>2</v>
      </c>
      <c r="D24" t="s">
        <v>20</v>
      </c>
      <c r="E24">
        <v>2</v>
      </c>
      <c r="F24" t="s">
        <v>72</v>
      </c>
      <c r="G24">
        <v>14</v>
      </c>
      <c r="H24" t="s">
        <v>56</v>
      </c>
      <c r="I24">
        <v>14</v>
      </c>
      <c r="J24" t="s">
        <v>56</v>
      </c>
      <c r="K24" s="10">
        <f>-SUMIFS(Planilha1!G:G,Planilha1!H:H,passivo!I24,Planilha1!I:I,passivo!J24)/1000</f>
        <v>0</v>
      </c>
      <c r="L24" s="10">
        <v>0</v>
      </c>
      <c r="M24" s="10">
        <v>0</v>
      </c>
      <c r="N24" s="10"/>
      <c r="O24" s="11">
        <v>0</v>
      </c>
      <c r="P24" s="10">
        <v>16117.19368</v>
      </c>
      <c r="Q24" s="10">
        <v>16117.19368</v>
      </c>
      <c r="R24" s="10">
        <v>16117.19368</v>
      </c>
      <c r="S24" s="10">
        <v>16117.19368</v>
      </c>
    </row>
    <row r="25" spans="1:19" x14ac:dyDescent="0.25">
      <c r="A25">
        <v>2</v>
      </c>
      <c r="B25" t="s">
        <v>68</v>
      </c>
      <c r="C25">
        <v>2</v>
      </c>
      <c r="D25" t="s">
        <v>20</v>
      </c>
      <c r="E25">
        <v>2</v>
      </c>
      <c r="F25" t="s">
        <v>72</v>
      </c>
      <c r="G25">
        <v>15</v>
      </c>
      <c r="H25" t="s">
        <v>1075</v>
      </c>
      <c r="I25">
        <v>15</v>
      </c>
      <c r="J25" t="s">
        <v>39</v>
      </c>
      <c r="K25" s="10">
        <f>-SUMIFS(Planilha1!G:G,Planilha1!H:H,passivo!I25,Planilha1!I:I,passivo!J25)/1000</f>
        <v>0</v>
      </c>
      <c r="L25" s="10">
        <v>0</v>
      </c>
      <c r="M25" s="10">
        <v>0</v>
      </c>
      <c r="N25" s="10">
        <v>200</v>
      </c>
      <c r="O25" s="11">
        <v>237.5</v>
      </c>
      <c r="P25" s="10">
        <v>312.5</v>
      </c>
      <c r="Q25" s="10">
        <v>0</v>
      </c>
      <c r="R25" s="10">
        <v>0</v>
      </c>
      <c r="S25" s="10">
        <v>0</v>
      </c>
    </row>
    <row r="26" spans="1:19" x14ac:dyDescent="0.25">
      <c r="A26">
        <v>2</v>
      </c>
      <c r="B26" t="s">
        <v>68</v>
      </c>
      <c r="C26">
        <v>2</v>
      </c>
      <c r="D26" t="s">
        <v>20</v>
      </c>
      <c r="E26">
        <v>2</v>
      </c>
      <c r="F26" t="s">
        <v>72</v>
      </c>
      <c r="G26">
        <v>16</v>
      </c>
      <c r="H26" t="s">
        <v>57</v>
      </c>
      <c r="I26">
        <v>16</v>
      </c>
      <c r="J26" t="s">
        <v>58</v>
      </c>
      <c r="K26" s="10">
        <f>-SUMIFS(Planilha1!G:G,Planilha1!H:H,passivo!I26,Planilha1!I:I,passivo!J26)/1000</f>
        <v>0</v>
      </c>
      <c r="L26" s="10">
        <v>3403.5779600000001</v>
      </c>
      <c r="M26" s="10">
        <v>78.16</v>
      </c>
      <c r="N26" s="10">
        <v>78.16</v>
      </c>
      <c r="O26" s="11">
        <v>78.16</v>
      </c>
      <c r="P26" s="10">
        <v>78.16</v>
      </c>
      <c r="Q26" s="10">
        <v>2222.70829</v>
      </c>
      <c r="R26" s="10">
        <v>3225.7702899999999</v>
      </c>
      <c r="S26" s="10">
        <v>4133</v>
      </c>
    </row>
    <row r="27" spans="1:19" x14ac:dyDescent="0.25">
      <c r="A27">
        <v>2</v>
      </c>
      <c r="B27" t="s">
        <v>68</v>
      </c>
      <c r="C27">
        <v>2</v>
      </c>
      <c r="D27" t="s">
        <v>20</v>
      </c>
      <c r="E27">
        <v>2</v>
      </c>
      <c r="F27" t="s">
        <v>72</v>
      </c>
      <c r="G27">
        <v>17</v>
      </c>
      <c r="H27" t="s">
        <v>1074</v>
      </c>
      <c r="I27" s="14">
        <v>17</v>
      </c>
      <c r="J27" s="14" t="s">
        <v>44</v>
      </c>
      <c r="K27" s="10">
        <f>-SUMIFS(Planilha1!G:G,Planilha1!H:H,passivo!I27,Planilha1!I:I,passivo!J27)/1000</f>
        <v>12853.082869999998</v>
      </c>
      <c r="L27" s="10">
        <v>12853.082869999998</v>
      </c>
      <c r="M27" s="10">
        <v>12853.082869999998</v>
      </c>
      <c r="N27" s="13">
        <v>766.14695999999992</v>
      </c>
      <c r="O27" s="11">
        <v>555.98983999999996</v>
      </c>
      <c r="P27" s="10">
        <v>1824.7660700000001</v>
      </c>
      <c r="Q27" s="10">
        <v>1226.92156</v>
      </c>
      <c r="R27" s="10">
        <v>1013.46576</v>
      </c>
      <c r="S27" s="10">
        <v>1022.91698</v>
      </c>
    </row>
    <row r="28" spans="1:19" x14ac:dyDescent="0.25">
      <c r="A28">
        <v>2</v>
      </c>
      <c r="B28" t="s">
        <v>68</v>
      </c>
      <c r="C28">
        <v>2</v>
      </c>
      <c r="D28" t="s">
        <v>20</v>
      </c>
      <c r="E28">
        <v>2</v>
      </c>
      <c r="F28" t="s">
        <v>72</v>
      </c>
      <c r="G28">
        <v>18</v>
      </c>
      <c r="H28" t="s">
        <v>1072</v>
      </c>
      <c r="I28" s="14">
        <v>18</v>
      </c>
      <c r="J28" s="14" t="s">
        <v>1073</v>
      </c>
      <c r="K28" s="10">
        <f>-SUMIFS(Planilha1!G:G,Planilha1!H:H,passivo!I28,Planilha1!I:I,passivo!J28)/1000</f>
        <v>0</v>
      </c>
      <c r="L28" s="10">
        <v>0</v>
      </c>
      <c r="M28" s="10">
        <v>0</v>
      </c>
      <c r="N28" s="13"/>
      <c r="O28" s="11"/>
      <c r="P28" s="10"/>
      <c r="Q28" s="10"/>
      <c r="R28" s="10"/>
      <c r="S28" s="10"/>
    </row>
    <row r="29" spans="1:19" x14ac:dyDescent="0.25">
      <c r="A29">
        <v>2</v>
      </c>
      <c r="B29" t="s">
        <v>68</v>
      </c>
      <c r="C29">
        <v>2</v>
      </c>
      <c r="D29" t="s">
        <v>20</v>
      </c>
      <c r="E29">
        <v>2</v>
      </c>
      <c r="F29" t="s">
        <v>72</v>
      </c>
      <c r="G29">
        <v>19</v>
      </c>
      <c r="H29" t="s">
        <v>59</v>
      </c>
      <c r="I29">
        <v>19</v>
      </c>
      <c r="J29" t="s">
        <v>59</v>
      </c>
      <c r="K29" s="10">
        <f>-SUMIFS(Planilha1!G:G,Planilha1!H:H,passivo!I29,Planilha1!I:I,passivo!J29)/1000</f>
        <v>35353.051820000001</v>
      </c>
      <c r="L29" s="10">
        <v>36061.334629999998</v>
      </c>
      <c r="M29" s="10">
        <v>37309.524559999998</v>
      </c>
      <c r="N29" s="10">
        <v>44173.62571</v>
      </c>
      <c r="O29" s="11">
        <v>46140.94371</v>
      </c>
      <c r="P29" s="10">
        <v>49120.544959999999</v>
      </c>
      <c r="Q29" s="10">
        <v>0</v>
      </c>
      <c r="R29" s="10">
        <v>0</v>
      </c>
      <c r="S29" s="10">
        <v>0</v>
      </c>
    </row>
    <row r="30" spans="1:19" x14ac:dyDescent="0.25">
      <c r="A30">
        <v>2</v>
      </c>
      <c r="B30" t="s">
        <v>68</v>
      </c>
      <c r="C30">
        <v>2</v>
      </c>
      <c r="D30" t="s">
        <v>20</v>
      </c>
      <c r="E30">
        <v>2</v>
      </c>
      <c r="F30" t="s">
        <v>72</v>
      </c>
      <c r="G30">
        <v>20</v>
      </c>
      <c r="H30" t="s">
        <v>60</v>
      </c>
      <c r="I30">
        <v>20</v>
      </c>
      <c r="J30" t="s">
        <v>60</v>
      </c>
      <c r="K30" s="10">
        <f>-SUMIFS(Planilha1!G:G,Planilha1!H:H,passivo!I30,Planilha1!I:I,passivo!J30)/1000</f>
        <v>0</v>
      </c>
      <c r="L30" s="10">
        <v>0</v>
      </c>
      <c r="M30" s="10">
        <v>0</v>
      </c>
      <c r="N30" s="10"/>
      <c r="O30" s="11"/>
      <c r="P30" s="10"/>
      <c r="Q30" s="10"/>
      <c r="R30" s="10"/>
      <c r="S30" s="10">
        <v>1203</v>
      </c>
    </row>
    <row r="31" spans="1:19" x14ac:dyDescent="0.25">
      <c r="A31" s="14">
        <v>2</v>
      </c>
      <c r="B31" s="14" t="s">
        <v>68</v>
      </c>
      <c r="C31" s="14">
        <v>2</v>
      </c>
      <c r="D31" s="14" t="s">
        <v>20</v>
      </c>
      <c r="E31" s="14">
        <v>2</v>
      </c>
      <c r="F31" s="14" t="s">
        <v>72</v>
      </c>
      <c r="G31" s="14">
        <v>24</v>
      </c>
      <c r="H31" s="14" t="s">
        <v>1090</v>
      </c>
      <c r="I31" s="14">
        <v>24</v>
      </c>
      <c r="J31" s="14" t="s">
        <v>1090</v>
      </c>
      <c r="K31" s="10">
        <f>-SUMIFS(Planilha1!G:G,Planilha1!H:H,passivo!I31,Planilha1!I:I,passivo!J31)/1000</f>
        <v>366.03384</v>
      </c>
      <c r="L31" s="10">
        <v>366.03384</v>
      </c>
      <c r="M31" s="13">
        <v>456.62066999999996</v>
      </c>
      <c r="N31" s="13"/>
      <c r="O31" s="15"/>
      <c r="P31" s="13"/>
      <c r="Q31" s="13"/>
      <c r="R31" s="13"/>
      <c r="S31" s="13">
        <v>1203</v>
      </c>
    </row>
    <row r="32" spans="1:19" x14ac:dyDescent="0.25">
      <c r="A32">
        <v>2</v>
      </c>
      <c r="B32" t="s">
        <v>68</v>
      </c>
      <c r="C32">
        <v>3</v>
      </c>
      <c r="D32" t="s">
        <v>61</v>
      </c>
      <c r="E32">
        <v>3</v>
      </c>
      <c r="F32" t="s">
        <v>61</v>
      </c>
      <c r="G32">
        <v>21</v>
      </c>
      <c r="H32" t="s">
        <v>62</v>
      </c>
      <c r="I32">
        <v>21</v>
      </c>
      <c r="J32" t="s">
        <v>62</v>
      </c>
      <c r="K32" s="10">
        <f>-SUMIFS(Planilha1!G:G,Planilha1!H:H,passivo!I32,Planilha1!I:I,passivo!J32)/1000</f>
        <v>58212.262360000001</v>
      </c>
      <c r="L32" s="10">
        <v>58212.262360000001</v>
      </c>
      <c r="M32" s="10">
        <v>58212.262360000001</v>
      </c>
      <c r="N32" s="10">
        <v>58212.262360000001</v>
      </c>
      <c r="O32" s="11">
        <v>58212.262360000001</v>
      </c>
      <c r="P32" s="10">
        <v>58212.262360000001</v>
      </c>
      <c r="Q32" s="10">
        <v>58212.262360000001</v>
      </c>
      <c r="R32" s="10">
        <v>58212.262360000001</v>
      </c>
      <c r="S32" s="10">
        <v>58212.262360000001</v>
      </c>
    </row>
    <row r="33" spans="1:19" x14ac:dyDescent="0.25">
      <c r="A33">
        <v>2</v>
      </c>
      <c r="B33" t="s">
        <v>68</v>
      </c>
      <c r="C33">
        <v>3</v>
      </c>
      <c r="D33" t="s">
        <v>61</v>
      </c>
      <c r="E33">
        <v>3</v>
      </c>
      <c r="F33" t="s">
        <v>61</v>
      </c>
      <c r="G33">
        <v>22</v>
      </c>
      <c r="H33" t="s">
        <v>63</v>
      </c>
      <c r="I33">
        <v>22</v>
      </c>
      <c r="J33" t="s">
        <v>64</v>
      </c>
      <c r="K33" s="10">
        <f>-SUMIFS(Planilha1!G:G,Planilha1!H:H,passivo!I33,Planilha1!I:I,passivo!J33)/1000</f>
        <v>21011.584320000002</v>
      </c>
      <c r="L33" s="10">
        <v>0</v>
      </c>
      <c r="M33" s="10">
        <f>6679.49784+14965.97974</f>
        <v>21645.477579999999</v>
      </c>
      <c r="N33" s="10">
        <v>6679.49784</v>
      </c>
      <c r="O33" s="11">
        <v>0</v>
      </c>
      <c r="P33" s="10">
        <v>5.7484299999999999</v>
      </c>
      <c r="Q33" s="10">
        <v>5.7484299999999999</v>
      </c>
      <c r="R33" s="10">
        <v>5.7484299999999999</v>
      </c>
      <c r="S33" s="10">
        <v>5.7484299999999999</v>
      </c>
    </row>
    <row r="34" spans="1:19" x14ac:dyDescent="0.25">
      <c r="A34">
        <v>2</v>
      </c>
      <c r="B34" t="s">
        <v>68</v>
      </c>
      <c r="C34">
        <v>3</v>
      </c>
      <c r="D34" t="s">
        <v>61</v>
      </c>
      <c r="E34">
        <v>3</v>
      </c>
      <c r="F34" t="s">
        <v>61</v>
      </c>
      <c r="G34">
        <v>23</v>
      </c>
      <c r="H34" t="s">
        <v>65</v>
      </c>
      <c r="I34">
        <v>23</v>
      </c>
      <c r="J34" t="s">
        <v>66</v>
      </c>
      <c r="K34" s="10">
        <f>-SUMIFS(Planilha1!G:G,Planilha1!H:H,passivo!I34,Planilha1!I:I,passivo!J34)/1000</f>
        <v>-67047.517359999998</v>
      </c>
      <c r="L34" s="10">
        <v>0</v>
      </c>
      <c r="M34" s="10">
        <v>0</v>
      </c>
      <c r="N34" s="10">
        <v>-10189.739170000001</v>
      </c>
      <c r="O34" s="11">
        <v>-39383.781749999995</v>
      </c>
      <c r="P34" s="10">
        <v>-222708.27768999999</v>
      </c>
      <c r="Q34" s="10">
        <v>-238358.77224000002</v>
      </c>
      <c r="R34" s="10">
        <v>-221879.04743999999</v>
      </c>
      <c r="S34" s="10">
        <f>-212352.00097+173.456</f>
        <v>-212178.54496999999</v>
      </c>
    </row>
    <row r="35" spans="1:19" x14ac:dyDescent="0.25">
      <c r="A35">
        <v>2</v>
      </c>
      <c r="B35" t="s">
        <v>68</v>
      </c>
      <c r="C35">
        <v>3</v>
      </c>
      <c r="D35" t="s">
        <v>61</v>
      </c>
      <c r="E35">
        <v>3</v>
      </c>
      <c r="F35" t="s">
        <v>61</v>
      </c>
      <c r="G35">
        <v>23</v>
      </c>
      <c r="H35" t="s">
        <v>65</v>
      </c>
      <c r="I35">
        <v>23</v>
      </c>
      <c r="J35" t="s">
        <v>67</v>
      </c>
      <c r="K35" s="10">
        <f>-SUMIFS(Planilha1!G:G,Planilha1!H:H,passivo!I35,Planilha1!I:I,passivo!J35)/1000</f>
        <v>-27814.909329999999</v>
      </c>
      <c r="L35" s="10">
        <v>-46035.933039999996</v>
      </c>
      <c r="M35" s="10">
        <v>0</v>
      </c>
      <c r="N35" s="10">
        <v>10189.739170000001</v>
      </c>
      <c r="O35" s="11">
        <v>35873.444109999997</v>
      </c>
      <c r="P35" s="10">
        <v>167201.65013999998</v>
      </c>
      <c r="Q35" s="10">
        <v>23123.8789</v>
      </c>
      <c r="R35" s="10">
        <v>-16479.7248</v>
      </c>
      <c r="S35" s="10">
        <f>-9700.68888</f>
        <v>-9700.6888799999997</v>
      </c>
    </row>
    <row r="36" spans="1:19" x14ac:dyDescent="0.25">
      <c r="K36" s="10"/>
      <c r="L36" s="10"/>
    </row>
  </sheetData>
  <autoFilter ref="A1:S35" xr:uid="{5DB94A51-D17C-4788-8570-07043155FCD4}"/>
  <conditionalFormatting sqref="H31">
    <cfRule type="duplicateValues" dxfId="99" priority="4"/>
  </conditionalFormatting>
  <conditionalFormatting sqref="H32:H35 H2:H30">
    <cfRule type="duplicateValues" dxfId="98" priority="92"/>
  </conditionalFormatting>
  <conditionalFormatting sqref="J17">
    <cfRule type="duplicateValues" dxfId="97" priority="5"/>
  </conditionalFormatting>
  <conditionalFormatting sqref="J18">
    <cfRule type="duplicateValues" dxfId="96" priority="2"/>
  </conditionalFormatting>
  <conditionalFormatting sqref="J19">
    <cfRule type="duplicateValues" dxfId="95" priority="1"/>
  </conditionalFormatting>
  <conditionalFormatting sqref="J28">
    <cfRule type="duplicateValues" dxfId="94" priority="7"/>
  </conditionalFormatting>
  <conditionalFormatting sqref="J29:J30 N2:N14 J20:J27 N16 J32:J35 M17:N35 M2:M16 J2:J16 K2:L36">
    <cfRule type="duplicateValues" dxfId="93" priority="9"/>
  </conditionalFormatting>
  <conditionalFormatting sqref="J31">
    <cfRule type="duplicateValues" dxfId="92" priority="3"/>
  </conditionalFormatting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A4DA-8107-409A-8471-46A9D7BF2A73}">
  <dimension ref="B1:F25"/>
  <sheetViews>
    <sheetView workbookViewId="0">
      <selection activeCell="C18" sqref="C18"/>
    </sheetView>
  </sheetViews>
  <sheetFormatPr defaultRowHeight="15" x14ac:dyDescent="0.25"/>
  <cols>
    <col min="2" max="2" width="18.140625" bestFit="1" customWidth="1"/>
    <col min="3" max="3" width="23.7109375" style="1" bestFit="1" customWidth="1"/>
    <col min="4" max="4" width="16" customWidth="1"/>
    <col min="6" max="6" width="20" customWidth="1"/>
  </cols>
  <sheetData>
    <row r="1" spans="2:6" x14ac:dyDescent="0.25">
      <c r="B1" t="s">
        <v>96</v>
      </c>
      <c r="C1" s="1" t="s">
        <v>459</v>
      </c>
      <c r="D1" t="s">
        <v>998</v>
      </c>
    </row>
    <row r="2" spans="2:6" x14ac:dyDescent="0.25">
      <c r="B2" s="1">
        <f>SUM(Ativo!K2:K52)</f>
        <v>294296.63325000001</v>
      </c>
      <c r="C2" s="1">
        <f>SUM(passivo!K2:K95)</f>
        <v>294296.63325000001</v>
      </c>
      <c r="D2" s="9">
        <f>B2-C2</f>
        <v>0</v>
      </c>
      <c r="F2" s="9">
        <f>D2*1000</f>
        <v>0</v>
      </c>
    </row>
    <row r="3" spans="2:6" x14ac:dyDescent="0.25">
      <c r="B3" s="1">
        <f>SUMIF(Planilha1!A:A,1,Planilha1!G:G)/1000</f>
        <v>294296.63325000001</v>
      </c>
      <c r="C3" s="1">
        <f>-SUMIF(Planilha1!A:A,2,Planilha1!G:G)/1000-SUMIF(Planilha1!A:A,3,Planilha1!G:G)/1000</f>
        <v>294296.63325000001</v>
      </c>
      <c r="D3" s="9">
        <f>B3-C3</f>
        <v>0</v>
      </c>
      <c r="F3" s="9">
        <f>D3*1000</f>
        <v>0</v>
      </c>
    </row>
    <row r="4" spans="2:6" x14ac:dyDescent="0.25">
      <c r="B4" s="1" t="str">
        <f>IF(ROUND(B2-B3,2)=0,"ESTAR CERTO","ESTAR ERRADO")</f>
        <v>ESTAR CERTO</v>
      </c>
      <c r="C4" s="1" t="str">
        <f>IF(ROUND(C2-C3,2)=0,"ESTAR CERTO","ESTAR ERRADO")</f>
        <v>ESTAR CERTO</v>
      </c>
      <c r="F4" s="9"/>
    </row>
    <row r="5" spans="2:6" x14ac:dyDescent="0.25">
      <c r="B5" s="9">
        <f>B2-B3</f>
        <v>0</v>
      </c>
      <c r="C5">
        <f>C2-C3</f>
        <v>0</v>
      </c>
    </row>
    <row r="7" spans="2:6" x14ac:dyDescent="0.25">
      <c r="B7" t="s">
        <v>98</v>
      </c>
      <c r="C7" s="1" t="s">
        <v>461</v>
      </c>
    </row>
    <row r="8" spans="2:6" x14ac:dyDescent="0.25">
      <c r="B8" s="20">
        <f>SUM(Ativo!K2:K12)</f>
        <v>99060.099969999996</v>
      </c>
      <c r="C8" s="1">
        <f>SUM(passivo!K2:K19)</f>
        <v>163593.73441</v>
      </c>
      <c r="D8" s="9">
        <f>C8-C9</f>
        <v>0</v>
      </c>
    </row>
    <row r="9" spans="2:6" x14ac:dyDescent="0.25">
      <c r="B9" s="20">
        <f>SUMIF(Planilha1!A:A, " 1.1",Planilha1!G:G)/1000</f>
        <v>99060.099969999996</v>
      </c>
      <c r="C9" s="1">
        <f>-SUMIF(Planilha1!A:A, " 2.1",Planilha1!G:G)/1000</f>
        <v>163593.73441</v>
      </c>
    </row>
    <row r="10" spans="2:6" x14ac:dyDescent="0.25">
      <c r="B10" s="1" t="str">
        <f>IF(ROUND(B8-B9,2)=0,"ESTAR CERTO","ESTAR ERRADO")</f>
        <v>ESTAR CERTO</v>
      </c>
      <c r="C10" s="1" t="str">
        <f>IF(ROUND(C8-C9,2)=0,"ESTAR CERTO","ESTAR ERRADO")</f>
        <v>ESTAR CERTO</v>
      </c>
      <c r="D10" s="1"/>
    </row>
    <row r="11" spans="2:6" x14ac:dyDescent="0.25">
      <c r="C11" s="19"/>
    </row>
    <row r="12" spans="2:6" x14ac:dyDescent="0.25">
      <c r="B12" s="1" t="s">
        <v>1129</v>
      </c>
      <c r="C12" s="1" t="s">
        <v>1126</v>
      </c>
    </row>
    <row r="13" spans="2:6" x14ac:dyDescent="0.25">
      <c r="B13" s="20">
        <f>SUM(Ativo!K13:K16)</f>
        <v>7765.0133599999999</v>
      </c>
      <c r="C13" s="1">
        <f>SUM(passivo!K20:K31)</f>
        <v>146341.47884999998</v>
      </c>
    </row>
    <row r="14" spans="2:6" x14ac:dyDescent="0.25">
      <c r="B14" s="20">
        <f>SUMIF(Planilha1!A:A, " 1.2",Planilha1!G:G)/1000</f>
        <v>7765.0133599999999</v>
      </c>
      <c r="C14" s="1">
        <f>-SUMIF(Planilha1!A:A, " 2.2",Planilha1!G:G)/1000</f>
        <v>146341.47884999998</v>
      </c>
    </row>
    <row r="15" spans="2:6" x14ac:dyDescent="0.25">
      <c r="B15" s="1" t="str">
        <f>IF(ROUND(B13-B14,2)=0,"ESTAR CERTO","ESTAR ERRADO")</f>
        <v>ESTAR CERTO</v>
      </c>
      <c r="C15" s="1" t="str">
        <f>IF(ROUND(C13-C14,2)=0,"ESTAR CERTO","ESTAR ERRADO")</f>
        <v>ESTAR CERTO</v>
      </c>
    </row>
    <row r="16" spans="2:6" x14ac:dyDescent="0.25">
      <c r="B16" s="1"/>
    </row>
    <row r="17" spans="2:4" x14ac:dyDescent="0.25">
      <c r="B17" t="s">
        <v>1130</v>
      </c>
      <c r="C17" s="1" t="s">
        <v>1127</v>
      </c>
    </row>
    <row r="18" spans="2:4" x14ac:dyDescent="0.25">
      <c r="B18" s="20">
        <f>Ativo!K17</f>
        <v>9540.8483799999995</v>
      </c>
      <c r="C18" s="1">
        <f>SUM(passivo!K32:K35)</f>
        <v>-15638.580009999994</v>
      </c>
      <c r="D18" s="9">
        <f>C18-C19</f>
        <v>0</v>
      </c>
    </row>
    <row r="19" spans="2:4" x14ac:dyDescent="0.25">
      <c r="B19" s="20">
        <f>SUMIF(Planilha1!A:A, " 1.3.1",Planilha1!G:G)/1000</f>
        <v>9540.8483800000013</v>
      </c>
      <c r="C19" s="1">
        <f>-SUMIF(Planilha1!A:A," 2.4",Planilha1!G:G)/1000-SUMIF(Planilha1!A:A," 3",Planilha1!G:G)/1000</f>
        <v>-15638.580009999998</v>
      </c>
    </row>
    <row r="20" spans="2:4" x14ac:dyDescent="0.25">
      <c r="B20" s="1" t="str">
        <f>IF(ROUND(B18-B19,2)=0,"ESTAR CERTO","ESTAR ERRADO")</f>
        <v>ESTAR CERTO</v>
      </c>
      <c r="C20" s="1" t="str">
        <f>IF(ROUND(C18-C19,2)=0,"ESTAR CERTO","ESTAR ERRADO")</f>
        <v>ESTAR CERTO</v>
      </c>
    </row>
    <row r="21" spans="2:4" x14ac:dyDescent="0.25">
      <c r="D21" s="9"/>
    </row>
    <row r="22" spans="2:4" x14ac:dyDescent="0.25">
      <c r="B22" t="s">
        <v>381</v>
      </c>
    </row>
    <row r="23" spans="2:4" x14ac:dyDescent="0.25">
      <c r="B23" s="20">
        <f>Ativo!K18</f>
        <v>177930.67154000004</v>
      </c>
    </row>
    <row r="24" spans="2:4" x14ac:dyDescent="0.25">
      <c r="B24" s="20">
        <f>SUMIF(Planilha1!A:A, " 1.3.2",Planilha1!G:G)/1000</f>
        <v>177930.67153999998</v>
      </c>
    </row>
    <row r="25" spans="2:4" x14ac:dyDescent="0.25">
      <c r="B25" s="1" t="str">
        <f>IF(ROUND(B23-B24,2)=0,"ESTAR CERTO","ESTAR ERRADO")</f>
        <v>ESTAR CERTO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D72-2179-4EF4-8210-30C7345A3670}">
  <dimension ref="A1:J516"/>
  <sheetViews>
    <sheetView tabSelected="1" topLeftCell="B309" workbookViewId="0">
      <selection activeCell="I323" sqref="I323"/>
    </sheetView>
  </sheetViews>
  <sheetFormatPr defaultRowHeight="15" x14ac:dyDescent="0.25"/>
  <cols>
    <col min="1" max="1" width="13.140625" customWidth="1"/>
    <col min="2" max="2" width="55.140625" bestFit="1" customWidth="1"/>
    <col min="3" max="3" width="14.5703125" customWidth="1"/>
    <col min="4" max="5" width="15.42578125" customWidth="1"/>
    <col min="6" max="6" width="14.5703125" customWidth="1"/>
    <col min="7" max="7" width="14.5703125" bestFit="1" customWidth="1"/>
    <col min="9" max="9" width="34.140625" bestFit="1" customWidth="1"/>
    <col min="10" max="10" width="14.5703125" bestFit="1" customWidth="1"/>
  </cols>
  <sheetData>
    <row r="1" spans="1:9" ht="15.75" x14ac:dyDescent="0.25">
      <c r="A1" s="27" t="s">
        <v>81</v>
      </c>
      <c r="B1" s="21"/>
      <c r="C1" s="21"/>
      <c r="D1" s="21"/>
      <c r="E1" s="21"/>
      <c r="F1" s="21"/>
      <c r="G1" s="21"/>
    </row>
    <row r="2" spans="1:9" x14ac:dyDescent="0.25">
      <c r="A2" s="8" t="s">
        <v>82</v>
      </c>
      <c r="F2" s="22"/>
      <c r="G2" s="23" t="s">
        <v>1227</v>
      </c>
    </row>
    <row r="3" spans="1:9" x14ac:dyDescent="0.25">
      <c r="A3" s="8" t="s">
        <v>83</v>
      </c>
      <c r="F3" s="22"/>
      <c r="G3" s="23" t="s">
        <v>1228</v>
      </c>
    </row>
    <row r="4" spans="1:9" x14ac:dyDescent="0.25">
      <c r="A4" s="8" t="s">
        <v>84</v>
      </c>
      <c r="F4" s="22"/>
      <c r="G4" s="23" t="s">
        <v>87</v>
      </c>
    </row>
    <row r="5" spans="1:9" x14ac:dyDescent="0.25">
      <c r="A5" s="8" t="s">
        <v>1229</v>
      </c>
      <c r="F5" s="22"/>
      <c r="G5" s="23"/>
    </row>
    <row r="6" spans="1:9" x14ac:dyDescent="0.25">
      <c r="A6" s="4" t="s">
        <v>1230</v>
      </c>
      <c r="B6" s="5"/>
      <c r="C6" s="5"/>
      <c r="D6" s="5"/>
      <c r="E6" s="5"/>
      <c r="F6" s="24"/>
      <c r="G6" s="25"/>
    </row>
    <row r="7" spans="1:9" x14ac:dyDescent="0.25">
      <c r="A7" s="28" t="s">
        <v>88</v>
      </c>
      <c r="B7" s="28" t="s">
        <v>89</v>
      </c>
      <c r="C7" s="29" t="s">
        <v>90</v>
      </c>
      <c r="D7" s="29" t="s">
        <v>91</v>
      </c>
      <c r="E7" s="29" t="s">
        <v>92</v>
      </c>
      <c r="F7" s="29" t="s">
        <v>93</v>
      </c>
      <c r="G7" s="29" t="s">
        <v>94</v>
      </c>
    </row>
    <row r="8" spans="1:9" x14ac:dyDescent="0.25">
      <c r="A8" t="s">
        <v>95</v>
      </c>
      <c r="B8" t="s">
        <v>96</v>
      </c>
      <c r="C8" s="26">
        <v>299965967.02999997</v>
      </c>
      <c r="D8" s="26">
        <v>44425821.659999996</v>
      </c>
      <c r="E8" s="26">
        <v>50095155.439999998</v>
      </c>
      <c r="F8" s="26">
        <v>-5669333.7800000003</v>
      </c>
      <c r="G8" s="26">
        <v>294296633.25</v>
      </c>
      <c r="H8" t="str">
        <f>_xlfn.XLOOKUP(A8,indice!A:A,indice!C:C)</f>
        <v>S</v>
      </c>
      <c r="I8" t="str">
        <f>_xlfn.XLOOKUP(A8,indice!A:A,indice!D:D)</f>
        <v>SINTETICA</v>
      </c>
    </row>
    <row r="9" spans="1:9" x14ac:dyDescent="0.25">
      <c r="A9" t="s">
        <v>97</v>
      </c>
      <c r="B9" t="s">
        <v>98</v>
      </c>
      <c r="C9" s="26">
        <v>104143442.40000001</v>
      </c>
      <c r="D9" s="26">
        <v>43560471.799999997</v>
      </c>
      <c r="E9" s="26">
        <v>48643814.229999997</v>
      </c>
      <c r="F9" s="26">
        <v>-5083342.43</v>
      </c>
      <c r="G9" s="26">
        <v>99060099.969999999</v>
      </c>
      <c r="H9" t="str">
        <f>_xlfn.XLOOKUP(A9,indice!A:A,indice!C:C)</f>
        <v>S</v>
      </c>
      <c r="I9" t="str">
        <f>_xlfn.XLOOKUP(A9,indice!A:A,indice!D:D)</f>
        <v>SINTETICA</v>
      </c>
    </row>
    <row r="10" spans="1:9" x14ac:dyDescent="0.25">
      <c r="A10" t="s">
        <v>99</v>
      </c>
      <c r="B10" t="s">
        <v>100</v>
      </c>
      <c r="C10" s="26">
        <v>4568955.3499999996</v>
      </c>
      <c r="D10" s="26">
        <v>17198462.48</v>
      </c>
      <c r="E10" s="26">
        <v>20729360.09</v>
      </c>
      <c r="F10" s="26">
        <v>-3530897.61</v>
      </c>
      <c r="G10" s="26">
        <v>1038057.74</v>
      </c>
      <c r="H10" t="str">
        <f>_xlfn.XLOOKUP(A10,indice!A:A,indice!C:C)</f>
        <v>S</v>
      </c>
      <c r="I10" t="str">
        <f>_xlfn.XLOOKUP(A10,indice!A:A,indice!D:D)</f>
        <v>SINTETICA</v>
      </c>
    </row>
    <row r="11" spans="1:9" x14ac:dyDescent="0.25">
      <c r="A11" t="s">
        <v>101</v>
      </c>
      <c r="B11" t="s">
        <v>102</v>
      </c>
      <c r="C11" s="26">
        <v>82459.39</v>
      </c>
      <c r="D11" s="26">
        <v>7346291.1500000004</v>
      </c>
      <c r="E11" s="26">
        <v>7334270.2400000002</v>
      </c>
      <c r="F11" s="26">
        <v>12020.91</v>
      </c>
      <c r="G11" s="26">
        <v>94480.3</v>
      </c>
      <c r="H11" t="str">
        <f>_xlfn.XLOOKUP(A11,indice!A:A,indice!C:C)</f>
        <v>S</v>
      </c>
      <c r="I11" t="str">
        <f>_xlfn.XLOOKUP(A11,indice!A:A,indice!D:D)</f>
        <v>SINTETICA</v>
      </c>
    </row>
    <row r="12" spans="1:9" x14ac:dyDescent="0.25">
      <c r="A12" t="s">
        <v>103</v>
      </c>
      <c r="B12" t="s">
        <v>104</v>
      </c>
      <c r="C12" s="26">
        <v>2991.57</v>
      </c>
      <c r="D12" s="26">
        <v>2914.16</v>
      </c>
      <c r="E12" s="26">
        <v>0</v>
      </c>
      <c r="F12" s="26">
        <v>2914.16</v>
      </c>
      <c r="G12" s="26">
        <v>5905.73</v>
      </c>
      <c r="H12">
        <f>_xlfn.XLOOKUP(A12,indice!A:A,indice!C:C)</f>
        <v>1</v>
      </c>
      <c r="I12" t="str">
        <f>_xlfn.XLOOKUP(A12,indice!A:A,indice!D:D)</f>
        <v>Caixa e Equivalentes de Caixa</v>
      </c>
    </row>
    <row r="13" spans="1:9" x14ac:dyDescent="0.25">
      <c r="A13" t="s">
        <v>105</v>
      </c>
      <c r="B13" t="s">
        <v>106</v>
      </c>
      <c r="C13" s="26">
        <v>2004.71</v>
      </c>
      <c r="D13" s="26">
        <v>1000.06</v>
      </c>
      <c r="E13" s="26">
        <v>0</v>
      </c>
      <c r="F13" s="26">
        <v>1000.06</v>
      </c>
      <c r="G13" s="26">
        <v>3004.77</v>
      </c>
      <c r="H13">
        <f>_xlfn.XLOOKUP(A13,indice!A:A,indice!C:C)</f>
        <v>1</v>
      </c>
      <c r="I13" t="str">
        <f>_xlfn.XLOOKUP(A13,indice!A:A,indice!D:D)</f>
        <v>Caixa e Equivalentes de Caixa</v>
      </c>
    </row>
    <row r="14" spans="1:9" x14ac:dyDescent="0.25">
      <c r="A14" t="s">
        <v>107</v>
      </c>
      <c r="B14" t="s">
        <v>108</v>
      </c>
      <c r="C14" s="26">
        <v>76463.11</v>
      </c>
      <c r="D14" s="26">
        <v>25300</v>
      </c>
      <c r="E14" s="26">
        <v>17193.310000000001</v>
      </c>
      <c r="F14" s="26">
        <v>8106.69</v>
      </c>
      <c r="G14" s="26">
        <v>84569.8</v>
      </c>
      <c r="H14">
        <f>_xlfn.XLOOKUP(A14,indice!A:A,indice!C:C)</f>
        <v>1</v>
      </c>
      <c r="I14" t="str">
        <f>_xlfn.XLOOKUP(A14,indice!A:A,indice!D:D)</f>
        <v>Caixa e Equivalentes de Caixa</v>
      </c>
    </row>
    <row r="15" spans="1:9" x14ac:dyDescent="0.25">
      <c r="A15" t="s">
        <v>109</v>
      </c>
      <c r="B15" t="s">
        <v>110</v>
      </c>
      <c r="C15" s="26">
        <v>0</v>
      </c>
      <c r="D15" s="26">
        <v>7317076.9299999997</v>
      </c>
      <c r="E15" s="26">
        <v>7317076.9299999997</v>
      </c>
      <c r="F15" s="26">
        <v>0</v>
      </c>
      <c r="G15" s="26">
        <v>0</v>
      </c>
      <c r="H15">
        <f>_xlfn.XLOOKUP(A15,indice!A:A,indice!C:C)</f>
        <v>1</v>
      </c>
      <c r="I15" t="str">
        <f>_xlfn.XLOOKUP(A15,indice!A:A,indice!D:D)</f>
        <v>Caixa e Equivalentes de Caixa</v>
      </c>
    </row>
    <row r="16" spans="1:9" x14ac:dyDescent="0.25">
      <c r="A16" t="s">
        <v>111</v>
      </c>
      <c r="B16" t="s">
        <v>112</v>
      </c>
      <c r="C16" s="26">
        <v>1000</v>
      </c>
      <c r="D16" s="26">
        <v>0</v>
      </c>
      <c r="E16" s="26">
        <v>0</v>
      </c>
      <c r="F16" s="26">
        <v>0</v>
      </c>
      <c r="G16" s="26">
        <v>1000</v>
      </c>
      <c r="H16">
        <f>_xlfn.XLOOKUP(A16,indice!A:A,indice!C:C)</f>
        <v>1</v>
      </c>
      <c r="I16" t="str">
        <f>_xlfn.XLOOKUP(A16,indice!A:A,indice!D:D)</f>
        <v>Caixa e Equivalentes de Caixa</v>
      </c>
    </row>
    <row r="17" spans="1:9" x14ac:dyDescent="0.25">
      <c r="A17" t="s">
        <v>113</v>
      </c>
      <c r="B17" t="s">
        <v>114</v>
      </c>
      <c r="C17" s="26">
        <v>3571595.59</v>
      </c>
      <c r="D17" s="26">
        <v>9753607.8200000003</v>
      </c>
      <c r="E17" s="26">
        <v>13136907.76</v>
      </c>
      <c r="F17" s="26">
        <v>-3383299.94</v>
      </c>
      <c r="G17" s="26">
        <v>188295.65</v>
      </c>
      <c r="H17" t="str">
        <f>_xlfn.XLOOKUP(A17,indice!A:A,indice!C:C)</f>
        <v>S</v>
      </c>
      <c r="I17" t="str">
        <f>_xlfn.XLOOKUP(A17,indice!A:A,indice!D:D)</f>
        <v>SINTETICA</v>
      </c>
    </row>
    <row r="18" spans="1:9" x14ac:dyDescent="0.25">
      <c r="A18" t="s">
        <v>115</v>
      </c>
      <c r="B18" t="s">
        <v>116</v>
      </c>
      <c r="C18" s="26">
        <v>3488940.14</v>
      </c>
      <c r="D18" s="26">
        <v>8853346.1199999992</v>
      </c>
      <c r="E18" s="26">
        <v>12241693.32</v>
      </c>
      <c r="F18" s="26">
        <v>-3388347.2</v>
      </c>
      <c r="G18" s="26">
        <v>100592.94</v>
      </c>
      <c r="H18">
        <f>_xlfn.XLOOKUP(A18,indice!A:A,indice!C:C)</f>
        <v>1</v>
      </c>
      <c r="I18" t="str">
        <f>_xlfn.XLOOKUP(A18,indice!A:A,indice!D:D)</f>
        <v>Caixa e Equivalentes de Caixa</v>
      </c>
    </row>
    <row r="19" spans="1:9" x14ac:dyDescent="0.25">
      <c r="A19" t="s">
        <v>121</v>
      </c>
      <c r="B19" t="s">
        <v>122</v>
      </c>
      <c r="C19" s="26">
        <v>5731.3</v>
      </c>
      <c r="D19" s="26">
        <v>1.3</v>
      </c>
      <c r="E19" s="26">
        <v>325.35000000000002</v>
      </c>
      <c r="F19" s="26">
        <v>-324.05</v>
      </c>
      <c r="G19" s="26">
        <v>5407.25</v>
      </c>
      <c r="H19">
        <f>_xlfn.XLOOKUP(A19,indice!A:A,indice!C:C)</f>
        <v>1</v>
      </c>
      <c r="I19" t="str">
        <f>_xlfn.XLOOKUP(A19,indice!A:A,indice!D:D)</f>
        <v>Caixa e Equivalentes de Caixa</v>
      </c>
    </row>
    <row r="20" spans="1:9" x14ac:dyDescent="0.25">
      <c r="A20" t="s">
        <v>123</v>
      </c>
      <c r="B20" t="s">
        <v>124</v>
      </c>
      <c r="C20" s="26">
        <v>46670.400000000001</v>
      </c>
      <c r="D20" s="26">
        <v>420441.56</v>
      </c>
      <c r="E20" s="26">
        <v>415990.54</v>
      </c>
      <c r="F20" s="26">
        <v>4451.0200000000004</v>
      </c>
      <c r="G20" s="26">
        <v>51121.42</v>
      </c>
      <c r="H20">
        <f>_xlfn.XLOOKUP(A20,indice!A:A,indice!C:C)</f>
        <v>1</v>
      </c>
      <c r="I20" t="str">
        <f>_xlfn.XLOOKUP(A20,indice!A:A,indice!D:D)</f>
        <v>Caixa e Equivalentes de Caixa</v>
      </c>
    </row>
    <row r="21" spans="1:9" x14ac:dyDescent="0.25">
      <c r="A21" t="s">
        <v>125</v>
      </c>
      <c r="B21" t="s">
        <v>126</v>
      </c>
      <c r="C21" s="26">
        <v>30183.38</v>
      </c>
      <c r="D21" s="26">
        <v>247990.66</v>
      </c>
      <c r="E21" s="26">
        <v>247000</v>
      </c>
      <c r="F21" s="26">
        <v>990.66</v>
      </c>
      <c r="G21" s="26">
        <v>31174.04</v>
      </c>
      <c r="H21">
        <f>_xlfn.XLOOKUP(A21,indice!A:A,indice!C:C)</f>
        <v>1</v>
      </c>
      <c r="I21" t="str">
        <f>_xlfn.XLOOKUP(A21,indice!A:A,indice!D:D)</f>
        <v>Caixa e Equivalentes de Caixa</v>
      </c>
    </row>
    <row r="22" spans="1:9" x14ac:dyDescent="0.25">
      <c r="A22" t="s">
        <v>1213</v>
      </c>
      <c r="B22" t="s">
        <v>1214</v>
      </c>
      <c r="C22" s="26">
        <v>70.37</v>
      </c>
      <c r="D22" s="26">
        <v>231828.18</v>
      </c>
      <c r="E22" s="26">
        <v>231898.55</v>
      </c>
      <c r="F22" s="26">
        <v>-70.37</v>
      </c>
      <c r="G22" s="26">
        <v>0</v>
      </c>
      <c r="H22">
        <f>_xlfn.XLOOKUP(A22,indice!A:A,indice!C:C)</f>
        <v>1</v>
      </c>
      <c r="I22" t="str">
        <f>_xlfn.XLOOKUP(A22,indice!A:A,indice!D:D)</f>
        <v>Caixa e Equivalentes de Caixa</v>
      </c>
    </row>
    <row r="23" spans="1:9" x14ac:dyDescent="0.25">
      <c r="A23" t="s">
        <v>127</v>
      </c>
      <c r="B23" t="s">
        <v>128</v>
      </c>
      <c r="C23" s="26">
        <v>599985.67000000004</v>
      </c>
      <c r="D23" s="26">
        <v>5634.38</v>
      </c>
      <c r="E23" s="26">
        <v>0</v>
      </c>
      <c r="F23" s="26">
        <v>5634.38</v>
      </c>
      <c r="G23" s="26">
        <v>605620.05000000005</v>
      </c>
      <c r="H23" t="str">
        <f>_xlfn.XLOOKUP(A23,indice!A:A,indice!C:C)</f>
        <v>S</v>
      </c>
      <c r="I23" t="str">
        <f>_xlfn.XLOOKUP(A23,indice!A:A,indice!D:D)</f>
        <v>SINTETICA</v>
      </c>
    </row>
    <row r="24" spans="1:9" x14ac:dyDescent="0.25">
      <c r="A24" t="s">
        <v>129</v>
      </c>
      <c r="B24" t="s">
        <v>130</v>
      </c>
      <c r="C24" s="26">
        <v>7731.57</v>
      </c>
      <c r="D24" s="26">
        <v>80.8</v>
      </c>
      <c r="E24" s="26">
        <v>0</v>
      </c>
      <c r="F24" s="26">
        <v>80.8</v>
      </c>
      <c r="G24" s="26">
        <v>7812.37</v>
      </c>
      <c r="H24">
        <f>_xlfn.XLOOKUP(A24,indice!A:A,indice!C:C)</f>
        <v>1</v>
      </c>
      <c r="I24" t="str">
        <f>_xlfn.XLOOKUP(A24,indice!A:A,indice!D:D)</f>
        <v>Caixa e Equivalentes de Caixa</v>
      </c>
    </row>
    <row r="25" spans="1:9" x14ac:dyDescent="0.25">
      <c r="A25" t="s">
        <v>131</v>
      </c>
      <c r="B25" t="s">
        <v>132</v>
      </c>
      <c r="C25" s="26">
        <v>592254.1</v>
      </c>
      <c r="D25" s="26">
        <v>5553.58</v>
      </c>
      <c r="E25" s="26">
        <v>0</v>
      </c>
      <c r="F25" s="26">
        <v>5553.58</v>
      </c>
      <c r="G25" s="26">
        <v>597807.68000000005</v>
      </c>
      <c r="H25">
        <f>_xlfn.XLOOKUP(A25,indice!A:A,indice!C:C)</f>
        <v>1</v>
      </c>
      <c r="I25" t="str">
        <f>_xlfn.XLOOKUP(A25,indice!A:A,indice!D:D)</f>
        <v>Caixa e Equivalentes de Caixa</v>
      </c>
    </row>
    <row r="26" spans="1:9" x14ac:dyDescent="0.25">
      <c r="A26" t="s">
        <v>133</v>
      </c>
      <c r="B26" t="s">
        <v>134</v>
      </c>
      <c r="C26" s="26">
        <v>314914.7</v>
      </c>
      <c r="D26" s="26">
        <v>92929.13</v>
      </c>
      <c r="E26" s="26">
        <v>258182.09</v>
      </c>
      <c r="F26" s="26">
        <v>-165252.96</v>
      </c>
      <c r="G26" s="26">
        <v>149661.74</v>
      </c>
      <c r="H26" t="str">
        <f>_xlfn.XLOOKUP(A26,indice!A:A,indice!C:C)</f>
        <v>S</v>
      </c>
      <c r="I26" t="str">
        <f>_xlfn.XLOOKUP(A26,indice!A:A,indice!D:D)</f>
        <v>SINTETICA</v>
      </c>
    </row>
    <row r="27" spans="1:9" x14ac:dyDescent="0.25">
      <c r="A27" t="s">
        <v>135</v>
      </c>
      <c r="B27" t="s">
        <v>136</v>
      </c>
      <c r="C27" s="26">
        <v>67.8</v>
      </c>
      <c r="D27" s="26">
        <v>0.74</v>
      </c>
      <c r="E27" s="26">
        <v>0.15</v>
      </c>
      <c r="F27" s="26">
        <v>0.59</v>
      </c>
      <c r="G27" s="26">
        <v>68.39</v>
      </c>
      <c r="H27">
        <f>_xlfn.XLOOKUP(A27,indice!A:A,indice!C:C)</f>
        <v>1</v>
      </c>
      <c r="I27" t="str">
        <f>_xlfn.XLOOKUP(A27,indice!A:A,indice!D:D)</f>
        <v>Caixa e Equivalentes de Caixa</v>
      </c>
    </row>
    <row r="28" spans="1:9" x14ac:dyDescent="0.25">
      <c r="A28" t="s">
        <v>137</v>
      </c>
      <c r="B28" t="s">
        <v>138</v>
      </c>
      <c r="C28" s="26">
        <v>314846.90000000002</v>
      </c>
      <c r="D28" s="26">
        <v>92928.39</v>
      </c>
      <c r="E28" s="26">
        <v>258181.94</v>
      </c>
      <c r="F28" s="26">
        <v>-165253.54999999999</v>
      </c>
      <c r="G28" s="26">
        <v>149593.35</v>
      </c>
      <c r="H28">
        <f>_xlfn.XLOOKUP(A28,indice!A:A,indice!C:C)</f>
        <v>1</v>
      </c>
      <c r="I28" t="str">
        <f>_xlfn.XLOOKUP(A28,indice!A:A,indice!D:D)</f>
        <v>Caixa e Equivalentes de Caixa</v>
      </c>
    </row>
    <row r="29" spans="1:9" x14ac:dyDescent="0.25">
      <c r="A29" t="s">
        <v>141</v>
      </c>
      <c r="B29" t="s">
        <v>142</v>
      </c>
      <c r="C29" s="26">
        <v>6999415.6799999997</v>
      </c>
      <c r="D29" s="26">
        <v>8735994.5700000003</v>
      </c>
      <c r="E29" s="26">
        <v>10187441.300000001</v>
      </c>
      <c r="F29" s="26">
        <v>-1451446.73</v>
      </c>
      <c r="G29" s="26">
        <v>5547968.9500000002</v>
      </c>
      <c r="H29" t="str">
        <f>_xlfn.XLOOKUP(A29,indice!A:A,indice!C:C)</f>
        <v>S</v>
      </c>
      <c r="I29" t="str">
        <f>_xlfn.XLOOKUP(A29,indice!A:A,indice!D:D)</f>
        <v>SINTETICA</v>
      </c>
    </row>
    <row r="30" spans="1:9" x14ac:dyDescent="0.25">
      <c r="A30" t="s">
        <v>143</v>
      </c>
      <c r="B30" t="s">
        <v>144</v>
      </c>
      <c r="C30" s="26">
        <v>6999415.6799999997</v>
      </c>
      <c r="D30" s="26">
        <v>8735994.5700000003</v>
      </c>
      <c r="E30" s="26">
        <v>10187441.300000001</v>
      </c>
      <c r="F30" s="26">
        <v>-1451446.73</v>
      </c>
      <c r="G30" s="26">
        <v>5547968.9500000002</v>
      </c>
      <c r="H30" t="str">
        <f>_xlfn.XLOOKUP(A30,indice!A:A,indice!C:C)</f>
        <v>S</v>
      </c>
      <c r="I30" t="str">
        <f>_xlfn.XLOOKUP(A30,indice!A:A,indice!D:D)</f>
        <v>SINTETICA</v>
      </c>
    </row>
    <row r="31" spans="1:9" x14ac:dyDescent="0.25">
      <c r="A31" t="s">
        <v>145</v>
      </c>
      <c r="B31" t="s">
        <v>142</v>
      </c>
      <c r="C31" s="26">
        <v>7128949.9199999999</v>
      </c>
      <c r="D31" s="26">
        <v>8735994.5700000003</v>
      </c>
      <c r="E31" s="26">
        <v>10187441.300000001</v>
      </c>
      <c r="F31" s="26">
        <v>-1451446.73</v>
      </c>
      <c r="G31" s="26">
        <v>5677503.1900000004</v>
      </c>
      <c r="H31">
        <f>_xlfn.XLOOKUP(A31,indice!A:A,indice!C:C)</f>
        <v>2</v>
      </c>
      <c r="I31" t="str">
        <f>_xlfn.XLOOKUP(A31,indice!A:A,indice!D:D)</f>
        <v>Contas a Receber - Clientes</v>
      </c>
    </row>
    <row r="32" spans="1:9" x14ac:dyDescent="0.25">
      <c r="A32" t="s">
        <v>146</v>
      </c>
      <c r="B32" t="s">
        <v>147</v>
      </c>
      <c r="C32" s="26">
        <v>-129534.24</v>
      </c>
      <c r="D32" s="26">
        <v>0</v>
      </c>
      <c r="E32" s="26">
        <v>0</v>
      </c>
      <c r="F32" s="26">
        <v>0</v>
      </c>
      <c r="G32" s="26">
        <v>-129534.24</v>
      </c>
      <c r="H32">
        <f>_xlfn.XLOOKUP(A32,indice!A:A,indice!C:C)</f>
        <v>2</v>
      </c>
      <c r="I32" t="str">
        <f>_xlfn.XLOOKUP(A32,indice!A:A,indice!D:D)</f>
        <v>Contas a Receber - Clientes</v>
      </c>
    </row>
    <row r="33" spans="1:9" x14ac:dyDescent="0.25">
      <c r="A33" t="s">
        <v>148</v>
      </c>
      <c r="B33" t="s">
        <v>149</v>
      </c>
      <c r="C33" s="26">
        <v>1808581.31</v>
      </c>
      <c r="D33" s="26">
        <v>4578980.66</v>
      </c>
      <c r="E33" s="26">
        <v>3974234.93</v>
      </c>
      <c r="F33" s="26">
        <v>604745.73</v>
      </c>
      <c r="G33" s="26">
        <v>2413327.04</v>
      </c>
      <c r="H33" t="str">
        <f>_xlfn.XLOOKUP(A33,indice!A:A,indice!C:C)</f>
        <v>S</v>
      </c>
      <c r="I33" t="str">
        <f>_xlfn.XLOOKUP(A33,indice!A:A,indice!D:D)</f>
        <v>SINTETICA</v>
      </c>
    </row>
    <row r="34" spans="1:9" x14ac:dyDescent="0.25">
      <c r="A34" t="s">
        <v>150</v>
      </c>
      <c r="B34" t="s">
        <v>151</v>
      </c>
      <c r="C34" s="26">
        <v>1808581.31</v>
      </c>
      <c r="D34" s="26">
        <v>4578980.66</v>
      </c>
      <c r="E34" s="26">
        <v>3974234.93</v>
      </c>
      <c r="F34" s="26">
        <v>604745.73</v>
      </c>
      <c r="G34" s="26">
        <v>2413327.04</v>
      </c>
      <c r="H34" t="str">
        <f>_xlfn.XLOOKUP(A34,indice!A:A,indice!C:C)</f>
        <v>S</v>
      </c>
      <c r="I34" t="str">
        <f>_xlfn.XLOOKUP(A34,indice!A:A,indice!D:D)</f>
        <v>SINTETICA</v>
      </c>
    </row>
    <row r="35" spans="1:9" x14ac:dyDescent="0.25">
      <c r="A35" t="s">
        <v>152</v>
      </c>
      <c r="B35" t="s">
        <v>153</v>
      </c>
      <c r="C35" s="26">
        <v>152637.94</v>
      </c>
      <c r="D35" s="26">
        <v>3181193.25</v>
      </c>
      <c r="E35" s="26">
        <v>3181120.79</v>
      </c>
      <c r="F35" s="26">
        <v>72.459999999999994</v>
      </c>
      <c r="G35" s="26">
        <v>152710.39999999999</v>
      </c>
      <c r="H35">
        <f>_xlfn.XLOOKUP(A35,indice!A:A,indice!C:C)</f>
        <v>3</v>
      </c>
      <c r="I35" t="str">
        <f>_xlfn.XLOOKUP(A35,indice!A:A,indice!D:D)</f>
        <v>Adiantamento a Fornecedores</v>
      </c>
    </row>
    <row r="36" spans="1:9" x14ac:dyDescent="0.25">
      <c r="A36" t="s">
        <v>154</v>
      </c>
      <c r="B36" t="s">
        <v>155</v>
      </c>
      <c r="C36" s="26">
        <v>2501002.85</v>
      </c>
      <c r="D36" s="26">
        <v>717719.31</v>
      </c>
      <c r="E36" s="26">
        <v>363292.1</v>
      </c>
      <c r="F36" s="26">
        <v>354427.21</v>
      </c>
      <c r="G36" s="26">
        <v>2855430.06</v>
      </c>
      <c r="H36">
        <f>_xlfn.XLOOKUP(A36,indice!A:A,indice!C:C)</f>
        <v>3</v>
      </c>
      <c r="I36" t="str">
        <f>_xlfn.XLOOKUP(A36,indice!A:A,indice!D:D)</f>
        <v>Adiantamento a Fornecedores</v>
      </c>
    </row>
    <row r="37" spans="1:9" x14ac:dyDescent="0.25">
      <c r="A37" t="s">
        <v>156</v>
      </c>
      <c r="B37" t="s">
        <v>157</v>
      </c>
      <c r="C37" s="26">
        <v>32811.89</v>
      </c>
      <c r="D37" s="26">
        <v>9832.7000000000007</v>
      </c>
      <c r="E37" s="26">
        <v>0</v>
      </c>
      <c r="F37" s="26">
        <v>9832.7000000000007</v>
      </c>
      <c r="G37" s="26">
        <v>42644.59</v>
      </c>
      <c r="H37">
        <f>_xlfn.XLOOKUP(A37,indice!A:A,indice!C:C)</f>
        <v>3</v>
      </c>
      <c r="I37" t="str">
        <f>_xlfn.XLOOKUP(A37,indice!A:A,indice!D:D)</f>
        <v>Adiantamento a Fornecedores</v>
      </c>
    </row>
    <row r="38" spans="1:9" x14ac:dyDescent="0.25">
      <c r="A38" t="s">
        <v>158</v>
      </c>
      <c r="B38" t="s">
        <v>159</v>
      </c>
      <c r="C38" s="26">
        <v>29381.48</v>
      </c>
      <c r="D38" s="26">
        <v>0</v>
      </c>
      <c r="E38" s="26">
        <v>750</v>
      </c>
      <c r="F38" s="26">
        <v>-750</v>
      </c>
      <c r="G38" s="26">
        <v>28631.48</v>
      </c>
      <c r="H38">
        <f>_xlfn.XLOOKUP(A38,indice!A:A,indice!C:C)</f>
        <v>3</v>
      </c>
      <c r="I38" t="str">
        <f>_xlfn.XLOOKUP(A38,indice!A:A,indice!D:D)</f>
        <v>Adiantamento a Fornecedores</v>
      </c>
    </row>
    <row r="39" spans="1:9" x14ac:dyDescent="0.25">
      <c r="A39" t="s">
        <v>160</v>
      </c>
      <c r="B39" t="s">
        <v>161</v>
      </c>
      <c r="C39" s="26">
        <v>-122795.04</v>
      </c>
      <c r="D39" s="26">
        <v>607597.88</v>
      </c>
      <c r="E39" s="26">
        <v>366434.52</v>
      </c>
      <c r="F39" s="26">
        <v>241163.36</v>
      </c>
      <c r="G39" s="26">
        <v>118368.32000000001</v>
      </c>
      <c r="H39">
        <f>_xlfn.XLOOKUP(A39,indice!A:A,indice!C:C)</f>
        <v>3</v>
      </c>
      <c r="I39" t="str">
        <f>_xlfn.XLOOKUP(A39,indice!A:A,indice!D:D)</f>
        <v>Adiantamento a Fornecedores</v>
      </c>
    </row>
    <row r="40" spans="1:9" x14ac:dyDescent="0.25">
      <c r="A40" t="s">
        <v>1043</v>
      </c>
      <c r="B40" t="s">
        <v>1044</v>
      </c>
      <c r="C40" s="26">
        <v>0</v>
      </c>
      <c r="D40" s="26">
        <v>62637.52</v>
      </c>
      <c r="E40" s="26">
        <v>62637.52</v>
      </c>
      <c r="F40" s="26">
        <v>0</v>
      </c>
      <c r="G40" s="26">
        <v>0</v>
      </c>
      <c r="H40">
        <f>_xlfn.XLOOKUP(A40,indice!A:A,indice!C:C)</f>
        <v>3</v>
      </c>
      <c r="I40" t="str">
        <f>_xlfn.XLOOKUP(A40,indice!A:A,indice!D:D)</f>
        <v>Adiantamento a Fornecedores</v>
      </c>
    </row>
    <row r="41" spans="1:9" x14ac:dyDescent="0.25">
      <c r="A41" t="s">
        <v>164</v>
      </c>
      <c r="B41" t="s">
        <v>147</v>
      </c>
      <c r="C41" s="26">
        <v>-784457.81</v>
      </c>
      <c r="D41" s="26">
        <v>0</v>
      </c>
      <c r="E41" s="26">
        <v>0</v>
      </c>
      <c r="F41" s="26">
        <v>0</v>
      </c>
      <c r="G41" s="26">
        <v>-784457.81</v>
      </c>
      <c r="H41">
        <f>_xlfn.XLOOKUP(A41,indice!A:A,indice!C:C)</f>
        <v>3</v>
      </c>
      <c r="I41" t="str">
        <f>_xlfn.XLOOKUP(A41,indice!A:A,indice!D:D)</f>
        <v>Adiantamento a Fornecedores</v>
      </c>
    </row>
    <row r="42" spans="1:9" x14ac:dyDescent="0.25">
      <c r="A42" t="s">
        <v>165</v>
      </c>
      <c r="B42" t="s">
        <v>166</v>
      </c>
      <c r="C42" s="26">
        <v>31091242.420000002</v>
      </c>
      <c r="D42" s="26">
        <v>2588402.15</v>
      </c>
      <c r="E42" s="26">
        <v>2500277.52</v>
      </c>
      <c r="F42" s="26">
        <v>88124.63</v>
      </c>
      <c r="G42" s="26">
        <v>31179367.050000001</v>
      </c>
      <c r="H42" t="str">
        <f>_xlfn.XLOOKUP(A42,indice!A:A,indice!C:C)</f>
        <v>S</v>
      </c>
      <c r="I42" t="str">
        <f>_xlfn.XLOOKUP(A42,indice!A:A,indice!D:D)</f>
        <v>SINTETICA</v>
      </c>
    </row>
    <row r="43" spans="1:9" x14ac:dyDescent="0.25">
      <c r="A43" t="s">
        <v>167</v>
      </c>
      <c r="B43" t="s">
        <v>168</v>
      </c>
      <c r="C43" s="26">
        <v>24960145.649999999</v>
      </c>
      <c r="D43" s="26">
        <v>468020.79</v>
      </c>
      <c r="E43" s="26">
        <v>25891.02</v>
      </c>
      <c r="F43" s="26">
        <v>442129.77</v>
      </c>
      <c r="G43" s="26">
        <v>25402275.420000002</v>
      </c>
      <c r="H43" t="str">
        <f>_xlfn.XLOOKUP(A43,indice!A:A,indice!C:C)</f>
        <v>S</v>
      </c>
      <c r="I43" t="str">
        <f>_xlfn.XLOOKUP(A43,indice!A:A,indice!D:D)</f>
        <v>SINTETICA</v>
      </c>
    </row>
    <row r="44" spans="1:9" x14ac:dyDescent="0.25">
      <c r="A44" t="s">
        <v>169</v>
      </c>
      <c r="B44" t="s">
        <v>170</v>
      </c>
      <c r="C44" s="26">
        <v>4096916.72</v>
      </c>
      <c r="D44" s="26">
        <v>1760.9</v>
      </c>
      <c r="E44" s="26">
        <v>0</v>
      </c>
      <c r="F44" s="26">
        <v>1760.9</v>
      </c>
      <c r="G44" s="26">
        <v>4098677.62</v>
      </c>
      <c r="H44">
        <f>_xlfn.XLOOKUP(A44,indice!A:A,indice!C:C)</f>
        <v>4</v>
      </c>
      <c r="I44" t="str">
        <f>_xlfn.XLOOKUP(A44,indice!A:A,indice!D:D)</f>
        <v xml:space="preserve">Tributos a Recuperar </v>
      </c>
    </row>
    <row r="45" spans="1:9" x14ac:dyDescent="0.25">
      <c r="A45" t="s">
        <v>171</v>
      </c>
      <c r="B45" t="s">
        <v>172</v>
      </c>
      <c r="C45" s="26">
        <v>20629890.460000001</v>
      </c>
      <c r="D45" s="26">
        <v>429124.1</v>
      </c>
      <c r="E45" s="26">
        <v>1900.74</v>
      </c>
      <c r="F45" s="26">
        <v>427223.36</v>
      </c>
      <c r="G45" s="26">
        <v>21057113.82</v>
      </c>
      <c r="H45">
        <f>_xlfn.XLOOKUP(A45,indice!A:A,indice!C:C)</f>
        <v>4</v>
      </c>
      <c r="I45" t="str">
        <f>_xlfn.XLOOKUP(A45,indice!A:A,indice!D:D)</f>
        <v xml:space="preserve">Tributos a Recuperar </v>
      </c>
    </row>
    <row r="46" spans="1:9" x14ac:dyDescent="0.25">
      <c r="A46" t="s">
        <v>173</v>
      </c>
      <c r="B46" t="s">
        <v>174</v>
      </c>
      <c r="C46" s="26">
        <v>98413.84</v>
      </c>
      <c r="D46" s="26">
        <v>0.15</v>
      </c>
      <c r="E46" s="26">
        <v>0</v>
      </c>
      <c r="F46" s="26">
        <v>0.15</v>
      </c>
      <c r="G46" s="26">
        <v>98413.99</v>
      </c>
      <c r="H46">
        <f>_xlfn.XLOOKUP(A46,indice!A:A,indice!C:C)</f>
        <v>4</v>
      </c>
      <c r="I46" t="str">
        <f>_xlfn.XLOOKUP(A46,indice!A:A,indice!D:D)</f>
        <v xml:space="preserve">Tributos a Recuperar </v>
      </c>
    </row>
    <row r="47" spans="1:9" x14ac:dyDescent="0.25">
      <c r="A47" t="s">
        <v>175</v>
      </c>
      <c r="B47" t="s">
        <v>176</v>
      </c>
      <c r="C47" s="26">
        <v>10282.530000000001</v>
      </c>
      <c r="D47" s="26">
        <v>4272.24</v>
      </c>
      <c r="E47" s="26">
        <v>4272.24</v>
      </c>
      <c r="F47" s="26">
        <v>0</v>
      </c>
      <c r="G47" s="26">
        <v>10282.530000000001</v>
      </c>
      <c r="H47">
        <f>_xlfn.XLOOKUP(A47,indice!A:A,indice!C:C)</f>
        <v>4</v>
      </c>
      <c r="I47" t="str">
        <f>_xlfn.XLOOKUP(A47,indice!A:A,indice!D:D)</f>
        <v xml:space="preserve">Tributos a Recuperar </v>
      </c>
    </row>
    <row r="48" spans="1:9" x14ac:dyDescent="0.25">
      <c r="A48" t="s">
        <v>177</v>
      </c>
      <c r="B48" t="s">
        <v>178</v>
      </c>
      <c r="C48" s="26">
        <v>12564.43</v>
      </c>
      <c r="D48" s="26">
        <v>0</v>
      </c>
      <c r="E48" s="26">
        <v>0</v>
      </c>
      <c r="F48" s="26">
        <v>0</v>
      </c>
      <c r="G48" s="26">
        <v>12564.43</v>
      </c>
      <c r="H48">
        <f>_xlfn.XLOOKUP(A48,indice!A:A,indice!C:C)</f>
        <v>4</v>
      </c>
      <c r="I48" t="str">
        <f>_xlfn.XLOOKUP(A48,indice!A:A,indice!D:D)</f>
        <v xml:space="preserve">Tributos a Recuperar </v>
      </c>
    </row>
    <row r="49" spans="1:9" x14ac:dyDescent="0.25">
      <c r="A49" t="s">
        <v>179</v>
      </c>
      <c r="B49" t="s">
        <v>180</v>
      </c>
      <c r="C49" s="26">
        <v>16196.57</v>
      </c>
      <c r="D49" s="26">
        <v>0</v>
      </c>
      <c r="E49" s="26">
        <v>0</v>
      </c>
      <c r="F49" s="26">
        <v>0</v>
      </c>
      <c r="G49" s="26">
        <v>16196.57</v>
      </c>
      <c r="H49">
        <f>_xlfn.XLOOKUP(A49,indice!A:A,indice!C:C)</f>
        <v>4</v>
      </c>
      <c r="I49" t="str">
        <f>_xlfn.XLOOKUP(A49,indice!A:A,indice!D:D)</f>
        <v xml:space="preserve">Tributos a Recuperar </v>
      </c>
    </row>
    <row r="50" spans="1:9" x14ac:dyDescent="0.25">
      <c r="A50" t="s">
        <v>181</v>
      </c>
      <c r="B50" t="s">
        <v>182</v>
      </c>
      <c r="C50" s="26">
        <v>47457.87</v>
      </c>
      <c r="D50" s="26">
        <v>19718.04</v>
      </c>
      <c r="E50" s="26">
        <v>19718.04</v>
      </c>
      <c r="F50" s="26">
        <v>0</v>
      </c>
      <c r="G50" s="26">
        <v>47457.87</v>
      </c>
      <c r="H50">
        <f>_xlfn.XLOOKUP(A50,indice!A:A,indice!C:C)</f>
        <v>4</v>
      </c>
      <c r="I50" t="str">
        <f>_xlfn.XLOOKUP(A50,indice!A:A,indice!D:D)</f>
        <v xml:space="preserve">Tributos a Recuperar </v>
      </c>
    </row>
    <row r="51" spans="1:9" x14ac:dyDescent="0.25">
      <c r="A51" t="s">
        <v>183</v>
      </c>
      <c r="B51" t="s">
        <v>184</v>
      </c>
      <c r="C51" s="26">
        <v>15819.29</v>
      </c>
      <c r="D51" s="26">
        <v>6572.68</v>
      </c>
      <c r="E51" s="26">
        <v>0</v>
      </c>
      <c r="F51" s="26">
        <v>6572.68</v>
      </c>
      <c r="G51" s="26">
        <v>22391.97</v>
      </c>
      <c r="H51">
        <f>_xlfn.XLOOKUP(A51,indice!A:A,indice!C:C)</f>
        <v>4</v>
      </c>
      <c r="I51" t="str">
        <f>_xlfn.XLOOKUP(A51,indice!A:A,indice!D:D)</f>
        <v xml:space="preserve">Tributos a Recuperar </v>
      </c>
    </row>
    <row r="52" spans="1:9" x14ac:dyDescent="0.25">
      <c r="A52" t="s">
        <v>185</v>
      </c>
      <c r="B52" t="s">
        <v>186</v>
      </c>
      <c r="C52" s="26">
        <v>412.75</v>
      </c>
      <c r="D52" s="26">
        <v>0</v>
      </c>
      <c r="E52" s="26">
        <v>0</v>
      </c>
      <c r="F52" s="26">
        <v>0</v>
      </c>
      <c r="G52" s="26">
        <v>412.75</v>
      </c>
      <c r="H52">
        <f>_xlfn.XLOOKUP(A52,indice!A:A,indice!C:C)</f>
        <v>4</v>
      </c>
      <c r="I52" t="str">
        <f>_xlfn.XLOOKUP(A52,indice!A:A,indice!D:D)</f>
        <v xml:space="preserve">Tributos a Recuperar </v>
      </c>
    </row>
    <row r="53" spans="1:9" x14ac:dyDescent="0.25">
      <c r="A53" t="s">
        <v>187</v>
      </c>
      <c r="B53" t="s">
        <v>188</v>
      </c>
      <c r="C53" s="26">
        <v>16371.9</v>
      </c>
      <c r="D53" s="26">
        <v>0</v>
      </c>
      <c r="E53" s="26">
        <v>0</v>
      </c>
      <c r="F53" s="26">
        <v>0</v>
      </c>
      <c r="G53" s="26">
        <v>16371.9</v>
      </c>
      <c r="H53">
        <f>_xlfn.XLOOKUP(A53,indice!A:A,indice!C:C)</f>
        <v>4</v>
      </c>
      <c r="I53" t="str">
        <f>_xlfn.XLOOKUP(A53,indice!A:A,indice!D:D)</f>
        <v xml:space="preserve">Tributos a Recuperar </v>
      </c>
    </row>
    <row r="54" spans="1:9" x14ac:dyDescent="0.25">
      <c r="A54" t="s">
        <v>189</v>
      </c>
      <c r="B54" t="s">
        <v>190</v>
      </c>
      <c r="C54" s="26">
        <v>15819.29</v>
      </c>
      <c r="D54" s="26">
        <v>6572.68</v>
      </c>
      <c r="E54" s="26">
        <v>0</v>
      </c>
      <c r="F54" s="26">
        <v>6572.68</v>
      </c>
      <c r="G54" s="26">
        <v>22391.97</v>
      </c>
      <c r="H54">
        <f>_xlfn.XLOOKUP(A54,indice!A:A,indice!C:C)</f>
        <v>4</v>
      </c>
      <c r="I54" t="str">
        <f>_xlfn.XLOOKUP(A54,indice!A:A,indice!D:D)</f>
        <v xml:space="preserve">Tributos a Recuperar </v>
      </c>
    </row>
    <row r="55" spans="1:9" x14ac:dyDescent="0.25">
      <c r="A55" t="s">
        <v>191</v>
      </c>
      <c r="B55" t="s">
        <v>192</v>
      </c>
      <c r="C55" s="26">
        <v>687013.13</v>
      </c>
      <c r="D55" s="26">
        <v>114794.64</v>
      </c>
      <c r="E55" s="26">
        <v>330741.05</v>
      </c>
      <c r="F55" s="26">
        <v>-215946.41</v>
      </c>
      <c r="G55" s="26">
        <v>471066.72</v>
      </c>
      <c r="H55" t="str">
        <f>_xlfn.XLOOKUP(A55,indice!A:A,indice!C:C)</f>
        <v>S</v>
      </c>
      <c r="I55" t="str">
        <f>_xlfn.XLOOKUP(A55,indice!A:A,indice!D:D)</f>
        <v>SINTETICA</v>
      </c>
    </row>
    <row r="56" spans="1:9" x14ac:dyDescent="0.25">
      <c r="A56" t="s">
        <v>193</v>
      </c>
      <c r="B56" t="s">
        <v>194</v>
      </c>
      <c r="C56" s="26">
        <v>0</v>
      </c>
      <c r="D56" s="26">
        <v>9540.5300000000007</v>
      </c>
      <c r="E56" s="26">
        <v>9540.5300000000007</v>
      </c>
      <c r="F56" s="26">
        <v>0</v>
      </c>
      <c r="G56" s="26">
        <v>0</v>
      </c>
      <c r="H56">
        <f>_xlfn.XLOOKUP(A56,indice!A:A,indice!C:C)</f>
        <v>4</v>
      </c>
      <c r="I56" t="str">
        <f>_xlfn.XLOOKUP(A56,indice!A:A,indice!D:D)</f>
        <v xml:space="preserve">Tributos a Recuperar </v>
      </c>
    </row>
    <row r="57" spans="1:9" x14ac:dyDescent="0.25">
      <c r="A57" t="s">
        <v>195</v>
      </c>
      <c r="B57" t="s">
        <v>196</v>
      </c>
      <c r="C57" s="26">
        <v>0</v>
      </c>
      <c r="D57" s="26">
        <v>1974.6</v>
      </c>
      <c r="E57" s="26">
        <v>1974.6</v>
      </c>
      <c r="F57" s="26">
        <v>0</v>
      </c>
      <c r="G57" s="26">
        <v>0</v>
      </c>
      <c r="H57">
        <f>_xlfn.XLOOKUP(A57,indice!A:A,indice!C:C)</f>
        <v>4</v>
      </c>
      <c r="I57" t="str">
        <f>_xlfn.XLOOKUP(A57,indice!A:A,indice!D:D)</f>
        <v xml:space="preserve">Tributos a Recuperar </v>
      </c>
    </row>
    <row r="58" spans="1:9" x14ac:dyDescent="0.25">
      <c r="A58" t="s">
        <v>197</v>
      </c>
      <c r="B58" t="s">
        <v>198</v>
      </c>
      <c r="C58" s="26">
        <v>0</v>
      </c>
      <c r="D58" s="26">
        <v>5907.8</v>
      </c>
      <c r="E58" s="26">
        <v>5907.8</v>
      </c>
      <c r="F58" s="26">
        <v>0</v>
      </c>
      <c r="G58" s="26">
        <v>0</v>
      </c>
      <c r="H58">
        <f>_xlfn.XLOOKUP(A58,indice!A:A,indice!C:C)</f>
        <v>4</v>
      </c>
      <c r="I58" t="str">
        <f>_xlfn.XLOOKUP(A58,indice!A:A,indice!D:D)</f>
        <v xml:space="preserve">Tributos a Recuperar </v>
      </c>
    </row>
    <row r="59" spans="1:9" x14ac:dyDescent="0.25">
      <c r="A59" t="s">
        <v>199</v>
      </c>
      <c r="B59" t="s">
        <v>200</v>
      </c>
      <c r="C59" s="26">
        <v>0</v>
      </c>
      <c r="D59" s="26">
        <v>6491.27</v>
      </c>
      <c r="E59" s="26">
        <v>6491.27</v>
      </c>
      <c r="F59" s="26">
        <v>0</v>
      </c>
      <c r="G59" s="26">
        <v>0</v>
      </c>
      <c r="H59">
        <f>_xlfn.XLOOKUP(A59,indice!A:A,indice!C:C)</f>
        <v>4</v>
      </c>
      <c r="I59" t="str">
        <f>_xlfn.XLOOKUP(A59,indice!A:A,indice!D:D)</f>
        <v xml:space="preserve">Tributos a Recuperar </v>
      </c>
    </row>
    <row r="60" spans="1:9" x14ac:dyDescent="0.25">
      <c r="A60" t="s">
        <v>201</v>
      </c>
      <c r="B60" t="s">
        <v>202</v>
      </c>
      <c r="C60" s="26">
        <v>0</v>
      </c>
      <c r="D60" s="26">
        <v>26.99</v>
      </c>
      <c r="E60" s="26">
        <v>26.99</v>
      </c>
      <c r="F60" s="26">
        <v>0</v>
      </c>
      <c r="G60" s="26">
        <v>0</v>
      </c>
      <c r="H60">
        <f>_xlfn.XLOOKUP(A60,indice!A:A,indice!C:C)</f>
        <v>4</v>
      </c>
      <c r="I60" t="str">
        <f>_xlfn.XLOOKUP(A60,indice!A:A,indice!D:D)</f>
        <v xml:space="preserve">Tributos a Recuperar </v>
      </c>
    </row>
    <row r="61" spans="1:9" x14ac:dyDescent="0.25">
      <c r="A61" t="s">
        <v>203</v>
      </c>
      <c r="B61" t="s">
        <v>204</v>
      </c>
      <c r="C61" s="26">
        <v>306919.92</v>
      </c>
      <c r="D61" s="26">
        <v>5500.73</v>
      </c>
      <c r="E61" s="26">
        <v>33282.17</v>
      </c>
      <c r="F61" s="26">
        <v>-27781.439999999999</v>
      </c>
      <c r="G61" s="26">
        <v>279138.48</v>
      </c>
      <c r="H61">
        <f>_xlfn.XLOOKUP(A61,indice!A:A,indice!C:C)</f>
        <v>4</v>
      </c>
      <c r="I61" t="str">
        <f>_xlfn.XLOOKUP(A61,indice!A:A,indice!D:D)</f>
        <v xml:space="preserve">Tributos a Recuperar </v>
      </c>
    </row>
    <row r="62" spans="1:9" x14ac:dyDescent="0.25">
      <c r="A62" t="s">
        <v>205</v>
      </c>
      <c r="B62" t="s">
        <v>206</v>
      </c>
      <c r="C62" s="26">
        <v>239815.64</v>
      </c>
      <c r="D62" s="26">
        <v>52088.45</v>
      </c>
      <c r="E62" s="26">
        <v>240253.42</v>
      </c>
      <c r="F62" s="26">
        <v>-188164.97</v>
      </c>
      <c r="G62" s="26">
        <v>51650.67</v>
      </c>
      <c r="H62">
        <f>_xlfn.XLOOKUP(A62,indice!A:A,indice!C:C)</f>
        <v>4</v>
      </c>
      <c r="I62" t="str">
        <f>_xlfn.XLOOKUP(A62,indice!A:A,indice!D:D)</f>
        <v xml:space="preserve">Tributos a Recuperar </v>
      </c>
    </row>
    <row r="63" spans="1:9" x14ac:dyDescent="0.25">
      <c r="A63" t="s">
        <v>207</v>
      </c>
      <c r="B63" t="s">
        <v>208</v>
      </c>
      <c r="C63" s="26">
        <v>0</v>
      </c>
      <c r="D63" s="26">
        <v>33264.269999999997</v>
      </c>
      <c r="E63" s="26">
        <v>33264.269999999997</v>
      </c>
      <c r="F63" s="26">
        <v>0</v>
      </c>
      <c r="G63" s="26">
        <v>0</v>
      </c>
      <c r="H63">
        <f>_xlfn.XLOOKUP(A63,indice!A:A,indice!C:C)</f>
        <v>4</v>
      </c>
      <c r="I63" t="str">
        <f>_xlfn.XLOOKUP(A63,indice!A:A,indice!D:D)</f>
        <v xml:space="preserve">Tributos a Recuperar </v>
      </c>
    </row>
    <row r="64" spans="1:9" x14ac:dyDescent="0.25">
      <c r="A64" t="s">
        <v>211</v>
      </c>
      <c r="B64" t="s">
        <v>212</v>
      </c>
      <c r="C64" s="26">
        <v>140277.57</v>
      </c>
      <c r="D64" s="26">
        <v>0</v>
      </c>
      <c r="E64" s="26">
        <v>0</v>
      </c>
      <c r="F64" s="26">
        <v>0</v>
      </c>
      <c r="G64" s="26">
        <v>140277.57</v>
      </c>
      <c r="H64">
        <f>_xlfn.XLOOKUP(A64,indice!A:A,indice!C:C)</f>
        <v>4</v>
      </c>
      <c r="I64" t="str">
        <f>_xlfn.XLOOKUP(A64,indice!A:A,indice!D:D)</f>
        <v xml:space="preserve">Tributos a Recuperar </v>
      </c>
    </row>
    <row r="65" spans="1:9" x14ac:dyDescent="0.25">
      <c r="A65" t="s">
        <v>213</v>
      </c>
      <c r="B65" t="s">
        <v>214</v>
      </c>
      <c r="C65" s="26">
        <v>3168166.52</v>
      </c>
      <c r="D65" s="26">
        <v>528750.48</v>
      </c>
      <c r="E65" s="26">
        <v>1523429.36</v>
      </c>
      <c r="F65" s="26">
        <v>-994678.88</v>
      </c>
      <c r="G65" s="26">
        <v>2173487.64</v>
      </c>
      <c r="H65" t="str">
        <f>_xlfn.XLOOKUP(A65,indice!A:A,indice!C:C)</f>
        <v>S</v>
      </c>
      <c r="I65" t="str">
        <f>_xlfn.XLOOKUP(A65,indice!A:A,indice!D:D)</f>
        <v>SINTETICA</v>
      </c>
    </row>
    <row r="66" spans="1:9" x14ac:dyDescent="0.25">
      <c r="A66" t="s">
        <v>215</v>
      </c>
      <c r="B66" t="s">
        <v>216</v>
      </c>
      <c r="C66" s="26">
        <v>0</v>
      </c>
      <c r="D66" s="26">
        <v>43943.65</v>
      </c>
      <c r="E66" s="26">
        <v>43943.65</v>
      </c>
      <c r="F66" s="26">
        <v>0</v>
      </c>
      <c r="G66" s="26">
        <v>0</v>
      </c>
      <c r="H66">
        <f>_xlfn.XLOOKUP(A66,indice!A:A,indice!C:C)</f>
        <v>4</v>
      </c>
      <c r="I66" t="str">
        <f>_xlfn.XLOOKUP(A66,indice!A:A,indice!D:D)</f>
        <v xml:space="preserve">Tributos a Recuperar </v>
      </c>
    </row>
    <row r="67" spans="1:9" x14ac:dyDescent="0.25">
      <c r="A67" t="s">
        <v>217</v>
      </c>
      <c r="B67" t="s">
        <v>218</v>
      </c>
      <c r="C67" s="26">
        <v>0</v>
      </c>
      <c r="D67" s="26">
        <v>9095.1</v>
      </c>
      <c r="E67" s="26">
        <v>9095.1</v>
      </c>
      <c r="F67" s="26">
        <v>0</v>
      </c>
      <c r="G67" s="26">
        <v>0</v>
      </c>
      <c r="H67">
        <f>_xlfn.XLOOKUP(A67,indice!A:A,indice!C:C)</f>
        <v>4</v>
      </c>
      <c r="I67" t="str">
        <f>_xlfn.XLOOKUP(A67,indice!A:A,indice!D:D)</f>
        <v xml:space="preserve">Tributos a Recuperar </v>
      </c>
    </row>
    <row r="68" spans="1:9" x14ac:dyDescent="0.25">
      <c r="A68" t="s">
        <v>219</v>
      </c>
      <c r="B68" t="s">
        <v>220</v>
      </c>
      <c r="C68" s="26">
        <v>0</v>
      </c>
      <c r="D68" s="26">
        <v>27211.83</v>
      </c>
      <c r="E68" s="26">
        <v>27211.83</v>
      </c>
      <c r="F68" s="26">
        <v>0</v>
      </c>
      <c r="G68" s="26">
        <v>0</v>
      </c>
      <c r="H68">
        <f>_xlfn.XLOOKUP(A68,indice!A:A,indice!C:C)</f>
        <v>4</v>
      </c>
      <c r="I68" t="str">
        <f>_xlfn.XLOOKUP(A68,indice!A:A,indice!D:D)</f>
        <v xml:space="preserve">Tributos a Recuperar </v>
      </c>
    </row>
    <row r="69" spans="1:9" x14ac:dyDescent="0.25">
      <c r="A69" t="s">
        <v>221</v>
      </c>
      <c r="B69" t="s">
        <v>222</v>
      </c>
      <c r="C69" s="26">
        <v>0</v>
      </c>
      <c r="D69" s="26">
        <v>29899.15</v>
      </c>
      <c r="E69" s="26">
        <v>29899.15</v>
      </c>
      <c r="F69" s="26">
        <v>0</v>
      </c>
      <c r="G69" s="26">
        <v>0</v>
      </c>
      <c r="H69">
        <f>_xlfn.XLOOKUP(A69,indice!A:A,indice!C:C)</f>
        <v>4</v>
      </c>
      <c r="I69" t="str">
        <f>_xlfn.XLOOKUP(A69,indice!A:A,indice!D:D)</f>
        <v xml:space="preserve">Tributos a Recuperar </v>
      </c>
    </row>
    <row r="70" spans="1:9" x14ac:dyDescent="0.25">
      <c r="A70" t="s">
        <v>223</v>
      </c>
      <c r="B70" t="s">
        <v>224</v>
      </c>
      <c r="C70" s="26">
        <v>0</v>
      </c>
      <c r="D70" s="26">
        <v>124.29</v>
      </c>
      <c r="E70" s="26">
        <v>124.29</v>
      </c>
      <c r="F70" s="26">
        <v>0</v>
      </c>
      <c r="G70" s="26">
        <v>0</v>
      </c>
      <c r="H70">
        <f>_xlfn.XLOOKUP(A70,indice!A:A,indice!C:C)</f>
        <v>4</v>
      </c>
      <c r="I70" t="str">
        <f>_xlfn.XLOOKUP(A70,indice!A:A,indice!D:D)</f>
        <v xml:space="preserve">Tributos a Recuperar </v>
      </c>
    </row>
    <row r="71" spans="1:9" x14ac:dyDescent="0.25">
      <c r="A71" t="s">
        <v>225</v>
      </c>
      <c r="B71" t="s">
        <v>226</v>
      </c>
      <c r="C71" s="26">
        <v>1417530.05</v>
      </c>
      <c r="D71" s="26">
        <v>25336.57</v>
      </c>
      <c r="E71" s="26">
        <v>153316.32999999999</v>
      </c>
      <c r="F71" s="26">
        <v>-127979.76</v>
      </c>
      <c r="G71" s="26">
        <v>1289550.29</v>
      </c>
      <c r="H71">
        <f>_xlfn.XLOOKUP(A71,indice!A:A,indice!C:C)</f>
        <v>4</v>
      </c>
      <c r="I71" t="str">
        <f>_xlfn.XLOOKUP(A71,indice!A:A,indice!D:D)</f>
        <v xml:space="preserve">Tributos a Recuperar </v>
      </c>
    </row>
    <row r="72" spans="1:9" x14ac:dyDescent="0.25">
      <c r="A72" t="s">
        <v>227</v>
      </c>
      <c r="B72" t="s">
        <v>228</v>
      </c>
      <c r="C72" s="26">
        <v>1104605.31</v>
      </c>
      <c r="D72" s="26">
        <v>239922.54</v>
      </c>
      <c r="E72" s="26">
        <v>1106621.6599999999</v>
      </c>
      <c r="F72" s="26">
        <v>-866699.12</v>
      </c>
      <c r="G72" s="26">
        <v>237906.19</v>
      </c>
      <c r="H72">
        <f>_xlfn.XLOOKUP(A72,indice!A:A,indice!C:C)</f>
        <v>4</v>
      </c>
      <c r="I72" t="str">
        <f>_xlfn.XLOOKUP(A72,indice!A:A,indice!D:D)</f>
        <v xml:space="preserve">Tributos a Recuperar </v>
      </c>
    </row>
    <row r="73" spans="1:9" x14ac:dyDescent="0.25">
      <c r="A73" t="s">
        <v>229</v>
      </c>
      <c r="B73" t="s">
        <v>230</v>
      </c>
      <c r="C73" s="26">
        <v>0</v>
      </c>
      <c r="D73" s="26">
        <v>153217.35</v>
      </c>
      <c r="E73" s="26">
        <v>153217.35</v>
      </c>
      <c r="F73" s="26">
        <v>0</v>
      </c>
      <c r="G73" s="26">
        <v>0</v>
      </c>
      <c r="H73">
        <f>_xlfn.XLOOKUP(A73,indice!A:A,indice!C:C)</f>
        <v>4</v>
      </c>
      <c r="I73" t="str">
        <f>_xlfn.XLOOKUP(A73,indice!A:A,indice!D:D)</f>
        <v xml:space="preserve">Tributos a Recuperar </v>
      </c>
    </row>
    <row r="74" spans="1:9" x14ac:dyDescent="0.25">
      <c r="A74" t="s">
        <v>233</v>
      </c>
      <c r="B74" t="s">
        <v>234</v>
      </c>
      <c r="C74" s="26">
        <v>646031.16</v>
      </c>
      <c r="D74" s="26">
        <v>0</v>
      </c>
      <c r="E74" s="26">
        <v>0</v>
      </c>
      <c r="F74" s="26">
        <v>0</v>
      </c>
      <c r="G74" s="26">
        <v>646031.16</v>
      </c>
      <c r="H74">
        <f>_xlfn.XLOOKUP(A74,indice!A:A,indice!C:C)</f>
        <v>4</v>
      </c>
      <c r="I74" t="str">
        <f>_xlfn.XLOOKUP(A74,indice!A:A,indice!D:D)</f>
        <v xml:space="preserve">Tributos a Recuperar </v>
      </c>
    </row>
    <row r="75" spans="1:9" x14ac:dyDescent="0.25">
      <c r="A75" t="s">
        <v>235</v>
      </c>
      <c r="B75" t="s">
        <v>236</v>
      </c>
      <c r="C75" s="26">
        <v>2275917.12</v>
      </c>
      <c r="D75" s="26">
        <v>1476836.24</v>
      </c>
      <c r="E75" s="26">
        <v>620216.09</v>
      </c>
      <c r="F75" s="26">
        <v>856620.15</v>
      </c>
      <c r="G75" s="26">
        <v>3132537.27</v>
      </c>
      <c r="H75" t="str">
        <f>_xlfn.XLOOKUP(A75,indice!A:A,indice!C:C)</f>
        <v>S</v>
      </c>
      <c r="I75" t="str">
        <f>_xlfn.XLOOKUP(A75,indice!A:A,indice!D:D)</f>
        <v>SINTETICA</v>
      </c>
    </row>
    <row r="76" spans="1:9" x14ac:dyDescent="0.25">
      <c r="A76" t="s">
        <v>237</v>
      </c>
      <c r="B76" t="s">
        <v>238</v>
      </c>
      <c r="C76" s="26">
        <v>113263.13</v>
      </c>
      <c r="D76" s="26">
        <v>1104605.31</v>
      </c>
      <c r="E76" s="26">
        <v>0</v>
      </c>
      <c r="F76" s="26">
        <v>1104605.31</v>
      </c>
      <c r="G76" s="26">
        <v>1217868.44</v>
      </c>
      <c r="H76">
        <f>_xlfn.XLOOKUP(A76,indice!A:A,indice!C:C)</f>
        <v>4</v>
      </c>
      <c r="I76" t="str">
        <f>_xlfn.XLOOKUP(A76,indice!A:A,indice!D:D)</f>
        <v xml:space="preserve">Tributos a Recuperar </v>
      </c>
    </row>
    <row r="77" spans="1:9" x14ac:dyDescent="0.25">
      <c r="A77" t="s">
        <v>239</v>
      </c>
      <c r="B77" t="s">
        <v>240</v>
      </c>
      <c r="C77" s="26">
        <v>215639.18</v>
      </c>
      <c r="D77" s="26">
        <v>239815.55</v>
      </c>
      <c r="E77" s="26">
        <v>0</v>
      </c>
      <c r="F77" s="26">
        <v>239815.55</v>
      </c>
      <c r="G77" s="26">
        <v>455454.73</v>
      </c>
      <c r="H77">
        <f>_xlfn.XLOOKUP(A77,indice!A:A,indice!C:C)</f>
        <v>4</v>
      </c>
      <c r="I77" t="str">
        <f>_xlfn.XLOOKUP(A77,indice!A:A,indice!D:D)</f>
        <v xml:space="preserve">Tributos a Recuperar </v>
      </c>
    </row>
    <row r="78" spans="1:9" x14ac:dyDescent="0.25">
      <c r="A78" t="s">
        <v>241</v>
      </c>
      <c r="B78" t="s">
        <v>242</v>
      </c>
      <c r="C78" s="26">
        <v>421964.05</v>
      </c>
      <c r="D78" s="26">
        <v>108795.32</v>
      </c>
      <c r="E78" s="26">
        <v>0</v>
      </c>
      <c r="F78" s="26">
        <v>108795.32</v>
      </c>
      <c r="G78" s="26">
        <v>530759.37</v>
      </c>
      <c r="H78">
        <f>_xlfn.XLOOKUP(A78,indice!A:A,indice!C:C)</f>
        <v>4</v>
      </c>
      <c r="I78" t="str">
        <f>_xlfn.XLOOKUP(A78,indice!A:A,indice!D:D)</f>
        <v xml:space="preserve">Tributos a Recuperar </v>
      </c>
    </row>
    <row r="79" spans="1:9" x14ac:dyDescent="0.25">
      <c r="A79" t="s">
        <v>243</v>
      </c>
      <c r="B79" t="s">
        <v>244</v>
      </c>
      <c r="C79" s="26">
        <v>20269.21</v>
      </c>
      <c r="D79" s="26">
        <v>23620.06</v>
      </c>
      <c r="E79" s="26">
        <v>3882.95</v>
      </c>
      <c r="F79" s="26">
        <v>19737.11</v>
      </c>
      <c r="G79" s="26">
        <v>40006.32</v>
      </c>
      <c r="H79">
        <f>_xlfn.XLOOKUP(A79,indice!A:A,indice!C:C)</f>
        <v>4</v>
      </c>
      <c r="I79" t="str">
        <f>_xlfn.XLOOKUP(A79,indice!A:A,indice!D:D)</f>
        <v xml:space="preserve">Tributos a Recuperar </v>
      </c>
    </row>
    <row r="80" spans="1:9" x14ac:dyDescent="0.25">
      <c r="A80" t="s">
        <v>1204</v>
      </c>
      <c r="B80" t="s">
        <v>1205</v>
      </c>
      <c r="C80" s="26">
        <v>1357953.73</v>
      </c>
      <c r="D80" s="26">
        <v>0</v>
      </c>
      <c r="E80" s="26">
        <v>524710.43000000005</v>
      </c>
      <c r="F80" s="26">
        <v>-524710.43000000005</v>
      </c>
      <c r="G80" s="26">
        <v>833243.3</v>
      </c>
      <c r="H80">
        <f>_xlfn.XLOOKUP(A80,indice!A:A,indice!C:C)</f>
        <v>4</v>
      </c>
      <c r="I80" t="str">
        <f>_xlfn.XLOOKUP(A80,indice!A:A,indice!D:D)</f>
        <v xml:space="preserve">Tributos a Recuperar </v>
      </c>
    </row>
    <row r="81" spans="1:9" x14ac:dyDescent="0.25">
      <c r="A81" t="s">
        <v>1206</v>
      </c>
      <c r="B81" t="s">
        <v>1207</v>
      </c>
      <c r="C81" s="26">
        <v>91622.71</v>
      </c>
      <c r="D81" s="26">
        <v>0</v>
      </c>
      <c r="E81" s="26">
        <v>91622.71</v>
      </c>
      <c r="F81" s="26">
        <v>-91622.71</v>
      </c>
      <c r="G81" s="26">
        <v>0</v>
      </c>
      <c r="H81">
        <f>_xlfn.XLOOKUP(A81,indice!A:A,indice!C:C)</f>
        <v>4</v>
      </c>
      <c r="I81" t="str">
        <f>_xlfn.XLOOKUP(A81,indice!A:A,indice!D:D)</f>
        <v xml:space="preserve">Tributos a Recuperar </v>
      </c>
    </row>
    <row r="82" spans="1:9" x14ac:dyDescent="0.25">
      <c r="A82" t="s">
        <v>245</v>
      </c>
      <c r="B82" t="s">
        <v>246</v>
      </c>
      <c r="C82" s="26">
        <v>55200.11</v>
      </c>
      <c r="D82" s="26">
        <v>0</v>
      </c>
      <c r="E82" s="26">
        <v>0</v>
      </c>
      <c r="F82" s="26">
        <v>0</v>
      </c>
      <c r="G82" s="26">
        <v>55200.11</v>
      </c>
      <c r="H82">
        <f>_xlfn.XLOOKUP(A82,indice!A:A,indice!C:C)</f>
        <v>4</v>
      </c>
      <c r="I82" t="str">
        <f>_xlfn.XLOOKUP(A82,indice!A:A,indice!D:D)</f>
        <v xml:space="preserve">Tributos a Recuperar </v>
      </c>
    </row>
    <row r="83" spans="1:9" x14ac:dyDescent="0.25">
      <c r="A83" t="s">
        <v>1102</v>
      </c>
      <c r="B83" t="s">
        <v>1103</v>
      </c>
      <c r="C83" s="26">
        <v>5</v>
      </c>
      <c r="D83" s="26">
        <v>0</v>
      </c>
      <c r="E83" s="26">
        <v>0</v>
      </c>
      <c r="F83" s="26">
        <v>0</v>
      </c>
      <c r="G83" s="26">
        <v>5</v>
      </c>
      <c r="H83">
        <f>_xlfn.XLOOKUP(A83,indice!A:A,indice!C:C)</f>
        <v>4</v>
      </c>
      <c r="I83" t="str">
        <f>_xlfn.XLOOKUP(A83,indice!A:A,indice!D:D)</f>
        <v xml:space="preserve">Tributos a Recuperar </v>
      </c>
    </row>
    <row r="84" spans="1:9" x14ac:dyDescent="0.25">
      <c r="A84" t="s">
        <v>247</v>
      </c>
      <c r="B84" t="s">
        <v>248</v>
      </c>
      <c r="C84" s="26">
        <v>196278.83</v>
      </c>
      <c r="D84" s="26">
        <v>409103.75</v>
      </c>
      <c r="E84" s="26">
        <v>277641.55</v>
      </c>
      <c r="F84" s="26">
        <v>131462.20000000001</v>
      </c>
      <c r="G84" s="26">
        <v>327741.03000000003</v>
      </c>
      <c r="H84" t="str">
        <f>_xlfn.XLOOKUP(A84,indice!A:A,indice!C:C)</f>
        <v>S</v>
      </c>
      <c r="I84" t="str">
        <f>_xlfn.XLOOKUP(A84,indice!A:A,indice!D:D)</f>
        <v>SINTETICA</v>
      </c>
    </row>
    <row r="85" spans="1:9" x14ac:dyDescent="0.25">
      <c r="A85" t="s">
        <v>249</v>
      </c>
      <c r="B85" t="s">
        <v>250</v>
      </c>
      <c r="C85" s="26">
        <v>196278.83</v>
      </c>
      <c r="D85" s="26">
        <v>409103.75</v>
      </c>
      <c r="E85" s="26">
        <v>277641.55</v>
      </c>
      <c r="F85" s="26">
        <v>131462.20000000001</v>
      </c>
      <c r="G85" s="26">
        <v>327741.03000000003</v>
      </c>
      <c r="H85" t="str">
        <f>_xlfn.XLOOKUP(A85,indice!A:A,indice!C:C)</f>
        <v>S</v>
      </c>
      <c r="I85" t="str">
        <f>_xlfn.XLOOKUP(A85,indice!A:A,indice!D:D)</f>
        <v>SINTETICA</v>
      </c>
    </row>
    <row r="86" spans="1:9" x14ac:dyDescent="0.25">
      <c r="A86" t="s">
        <v>251</v>
      </c>
      <c r="B86" t="s">
        <v>252</v>
      </c>
      <c r="C86" s="26">
        <v>196278.79</v>
      </c>
      <c r="D86" s="26">
        <v>409103.75</v>
      </c>
      <c r="E86" s="26">
        <v>277641.55</v>
      </c>
      <c r="F86" s="26">
        <v>131462.20000000001</v>
      </c>
      <c r="G86" s="26">
        <v>327740.99</v>
      </c>
      <c r="H86">
        <f>_xlfn.XLOOKUP(A86,indice!A:A,indice!C:C)</f>
        <v>5</v>
      </c>
      <c r="I86" t="str">
        <f>_xlfn.XLOOKUP(A86,indice!A:A,indice!D:D)</f>
        <v>Outros Créditos</v>
      </c>
    </row>
    <row r="87" spans="1:9" x14ac:dyDescent="0.25">
      <c r="A87" t="s">
        <v>253</v>
      </c>
      <c r="B87" t="s">
        <v>254</v>
      </c>
      <c r="C87" s="26">
        <v>0.04</v>
      </c>
      <c r="D87" s="26">
        <v>0</v>
      </c>
      <c r="E87" s="26">
        <v>0</v>
      </c>
      <c r="F87" s="26">
        <v>0</v>
      </c>
      <c r="G87" s="26">
        <v>0.04</v>
      </c>
      <c r="H87">
        <f>_xlfn.XLOOKUP(A87,indice!A:A,indice!C:C)</f>
        <v>5</v>
      </c>
      <c r="I87" t="str">
        <f>_xlfn.XLOOKUP(A87,indice!A:A,indice!D:D)</f>
        <v>Outros Créditos</v>
      </c>
    </row>
    <row r="88" spans="1:9" x14ac:dyDescent="0.25">
      <c r="A88" t="s">
        <v>255</v>
      </c>
      <c r="B88" t="s">
        <v>256</v>
      </c>
      <c r="C88" s="26">
        <v>18611731.75</v>
      </c>
      <c r="D88" s="26">
        <v>2931010.2</v>
      </c>
      <c r="E88" s="26">
        <v>10957621.890000001</v>
      </c>
      <c r="F88" s="26">
        <v>-8026611.6900000004</v>
      </c>
      <c r="G88" s="26">
        <v>10585120.060000001</v>
      </c>
      <c r="H88" t="str">
        <f>_xlfn.XLOOKUP(A88,indice!A:A,indice!C:C)</f>
        <v>S</v>
      </c>
      <c r="I88" t="str">
        <f>_xlfn.XLOOKUP(A88,indice!A:A,indice!D:D)</f>
        <v>SINTETICA</v>
      </c>
    </row>
    <row r="89" spans="1:9" x14ac:dyDescent="0.25">
      <c r="A89" t="s">
        <v>257</v>
      </c>
      <c r="B89" t="s">
        <v>258</v>
      </c>
      <c r="C89" s="26">
        <v>343869.04</v>
      </c>
      <c r="D89" s="26">
        <v>0</v>
      </c>
      <c r="E89" s="26">
        <v>51029.35</v>
      </c>
      <c r="F89" s="26">
        <v>-51029.35</v>
      </c>
      <c r="G89" s="26">
        <v>292839.69</v>
      </c>
      <c r="H89" t="str">
        <f>_xlfn.XLOOKUP(A89,indice!A:A,indice!C:C)</f>
        <v>S</v>
      </c>
      <c r="I89" t="str">
        <f>_xlfn.XLOOKUP(A89,indice!A:A,indice!D:D)</f>
        <v>SINTETICA</v>
      </c>
    </row>
    <row r="90" spans="1:9" x14ac:dyDescent="0.25">
      <c r="A90" t="s">
        <v>259</v>
      </c>
      <c r="B90" t="s">
        <v>260</v>
      </c>
      <c r="C90" s="26">
        <v>253556.95</v>
      </c>
      <c r="D90" s="26">
        <v>0</v>
      </c>
      <c r="E90" s="26">
        <v>0</v>
      </c>
      <c r="F90" s="26">
        <v>0</v>
      </c>
      <c r="G90" s="26">
        <v>253556.95</v>
      </c>
      <c r="H90">
        <f>_xlfn.XLOOKUP(A90,indice!A:A,indice!C:C)</f>
        <v>6</v>
      </c>
      <c r="I90" t="str">
        <f>_xlfn.XLOOKUP(A90,indice!A:A,indice!D:D)</f>
        <v xml:space="preserve">Estoques </v>
      </c>
    </row>
    <row r="91" spans="1:9" x14ac:dyDescent="0.25">
      <c r="A91" t="s">
        <v>261</v>
      </c>
      <c r="B91" t="s">
        <v>1055</v>
      </c>
      <c r="C91" s="26">
        <v>90311.51</v>
      </c>
      <c r="D91" s="26">
        <v>0</v>
      </c>
      <c r="E91" s="26">
        <v>51029.35</v>
      </c>
      <c r="F91" s="26">
        <v>-51029.35</v>
      </c>
      <c r="G91" s="26">
        <v>39282.160000000003</v>
      </c>
      <c r="H91">
        <f>_xlfn.XLOOKUP(A91,indice!A:A,indice!C:C)</f>
        <v>6</v>
      </c>
      <c r="I91" t="str">
        <f>_xlfn.XLOOKUP(A91,indice!A:A,indice!D:D)</f>
        <v xml:space="preserve">Estoques </v>
      </c>
    </row>
    <row r="92" spans="1:9" x14ac:dyDescent="0.25">
      <c r="A92" t="s">
        <v>263</v>
      </c>
      <c r="B92" t="s">
        <v>264</v>
      </c>
      <c r="C92" s="26">
        <v>0.57999999999999996</v>
      </c>
      <c r="D92" s="26">
        <v>0</v>
      </c>
      <c r="E92" s="26">
        <v>0</v>
      </c>
      <c r="F92" s="26">
        <v>0</v>
      </c>
      <c r="G92" s="26">
        <v>0.57999999999999996</v>
      </c>
      <c r="H92">
        <f>_xlfn.XLOOKUP(A92,indice!A:A,indice!C:C)</f>
        <v>6</v>
      </c>
      <c r="I92" t="str">
        <f>_xlfn.XLOOKUP(A92,indice!A:A,indice!D:D)</f>
        <v xml:space="preserve">Estoques </v>
      </c>
    </row>
    <row r="93" spans="1:9" x14ac:dyDescent="0.25">
      <c r="A93" t="s">
        <v>267</v>
      </c>
      <c r="B93" t="s">
        <v>268</v>
      </c>
      <c r="C93" s="26">
        <v>9407009.8200000003</v>
      </c>
      <c r="D93" s="26">
        <v>0</v>
      </c>
      <c r="E93" s="26">
        <v>8486611.4399999995</v>
      </c>
      <c r="F93" s="26">
        <v>-8486611.4399999995</v>
      </c>
      <c r="G93" s="26">
        <v>920398.38</v>
      </c>
      <c r="H93" t="str">
        <f>_xlfn.XLOOKUP(A93,indice!A:A,indice!C:C)</f>
        <v>S</v>
      </c>
      <c r="I93" t="str">
        <f>_xlfn.XLOOKUP(A93,indice!A:A,indice!D:D)</f>
        <v>SINTETICA</v>
      </c>
    </row>
    <row r="94" spans="1:9" x14ac:dyDescent="0.25">
      <c r="A94" t="s">
        <v>269</v>
      </c>
      <c r="B94" t="s">
        <v>270</v>
      </c>
      <c r="C94" s="26">
        <v>9407009.8200000003</v>
      </c>
      <c r="D94" s="26">
        <v>0</v>
      </c>
      <c r="E94" s="26">
        <v>8486611.4399999995</v>
      </c>
      <c r="F94" s="26">
        <v>-8486611.4399999995</v>
      </c>
      <c r="G94" s="26">
        <v>920398.38</v>
      </c>
      <c r="H94">
        <f>_xlfn.XLOOKUP(A94,indice!A:A,indice!C:C)</f>
        <v>6</v>
      </c>
      <c r="I94" t="str">
        <f>_xlfn.XLOOKUP(A94,indice!A:A,indice!D:D)</f>
        <v xml:space="preserve">Estoques </v>
      </c>
    </row>
    <row r="95" spans="1:9" x14ac:dyDescent="0.25">
      <c r="A95" t="s">
        <v>271</v>
      </c>
      <c r="B95" t="s">
        <v>272</v>
      </c>
      <c r="C95" s="26">
        <v>8978106.3800000008</v>
      </c>
      <c r="D95" s="26">
        <v>2931010.2</v>
      </c>
      <c r="E95" s="26">
        <v>2419981.08</v>
      </c>
      <c r="F95" s="26">
        <v>511029.12</v>
      </c>
      <c r="G95" s="26">
        <v>9489135.5</v>
      </c>
      <c r="H95" t="str">
        <f>_xlfn.XLOOKUP(A95,indice!A:A,indice!C:C)</f>
        <v>S</v>
      </c>
      <c r="I95" t="str">
        <f>_xlfn.XLOOKUP(A95,indice!A:A,indice!D:D)</f>
        <v>SINTETICA</v>
      </c>
    </row>
    <row r="96" spans="1:9" x14ac:dyDescent="0.25">
      <c r="A96" t="s">
        <v>273</v>
      </c>
      <c r="B96" t="s">
        <v>274</v>
      </c>
      <c r="C96" s="26">
        <v>5998559.2599999998</v>
      </c>
      <c r="D96" s="26">
        <v>672203.84</v>
      </c>
      <c r="E96" s="26">
        <v>1595190.34</v>
      </c>
      <c r="F96" s="26">
        <v>-922986.5</v>
      </c>
      <c r="G96" s="26">
        <v>5075572.76</v>
      </c>
      <c r="H96">
        <f>_xlfn.XLOOKUP(A96,indice!A:A,indice!C:C)</f>
        <v>6</v>
      </c>
      <c r="I96" t="str">
        <f>_xlfn.XLOOKUP(A96,indice!A:A,indice!D:D)</f>
        <v xml:space="preserve">Estoques </v>
      </c>
    </row>
    <row r="97" spans="1:9" x14ac:dyDescent="0.25">
      <c r="A97" t="s">
        <v>275</v>
      </c>
      <c r="B97" t="s">
        <v>276</v>
      </c>
      <c r="C97" s="26">
        <v>2979547.12</v>
      </c>
      <c r="D97" s="26">
        <v>2258806.36</v>
      </c>
      <c r="E97" s="26">
        <v>824790.74</v>
      </c>
      <c r="F97" s="26">
        <v>1434015.62</v>
      </c>
      <c r="G97" s="26">
        <v>4413562.74</v>
      </c>
      <c r="H97">
        <f>_xlfn.XLOOKUP(A97,indice!A:A,indice!C:C)</f>
        <v>6</v>
      </c>
      <c r="I97" t="str">
        <f>_xlfn.XLOOKUP(A97,indice!A:A,indice!D:D)</f>
        <v xml:space="preserve">Estoques </v>
      </c>
    </row>
    <row r="98" spans="1:9" x14ac:dyDescent="0.25">
      <c r="A98" t="s">
        <v>1032</v>
      </c>
      <c r="B98" t="s">
        <v>1033</v>
      </c>
      <c r="C98" s="26">
        <v>0.02</v>
      </c>
      <c r="D98" s="26">
        <v>0</v>
      </c>
      <c r="E98" s="26">
        <v>0.02</v>
      </c>
      <c r="F98" s="26">
        <v>-0.02</v>
      </c>
      <c r="G98" s="26">
        <v>0</v>
      </c>
      <c r="H98" t="str">
        <f>_xlfn.XLOOKUP(A98,indice!A:A,indice!C:C)</f>
        <v>S</v>
      </c>
      <c r="I98" t="str">
        <f>_xlfn.XLOOKUP(A98,indice!A:A,indice!D:D)</f>
        <v>SINTETICA</v>
      </c>
    </row>
    <row r="99" spans="1:9" x14ac:dyDescent="0.25">
      <c r="A99" t="s">
        <v>1034</v>
      </c>
      <c r="B99" t="s">
        <v>264</v>
      </c>
      <c r="C99" s="26">
        <v>0.02</v>
      </c>
      <c r="D99" s="26">
        <v>0</v>
      </c>
      <c r="E99" s="26">
        <v>0.02</v>
      </c>
      <c r="F99" s="26">
        <v>-0.02</v>
      </c>
      <c r="G99" s="26">
        <v>0</v>
      </c>
      <c r="H99">
        <f>_xlfn.XLOOKUP(A99,indice!A:A,indice!C:C)</f>
        <v>6</v>
      </c>
      <c r="I99" t="str">
        <f>_xlfn.XLOOKUP(A99,indice!A:A,indice!D:D)</f>
        <v xml:space="preserve">Estoques </v>
      </c>
    </row>
    <row r="100" spans="1:9" x14ac:dyDescent="0.25">
      <c r="A100" t="s">
        <v>1168</v>
      </c>
      <c r="B100" t="s">
        <v>1169</v>
      </c>
      <c r="C100" s="26">
        <v>-117253.51</v>
      </c>
      <c r="D100" s="26">
        <v>0</v>
      </c>
      <c r="E100" s="26">
        <v>0</v>
      </c>
      <c r="F100" s="26">
        <v>0</v>
      </c>
      <c r="G100" s="26">
        <v>-117253.51</v>
      </c>
      <c r="H100" t="str">
        <f>_xlfn.XLOOKUP(A100,indice!A:A,indice!C:C)</f>
        <v>S</v>
      </c>
      <c r="I100" t="str">
        <f>_xlfn.XLOOKUP(A100,indice!A:A,indice!D:D)</f>
        <v>SINTETICA</v>
      </c>
    </row>
    <row r="101" spans="1:9" x14ac:dyDescent="0.25">
      <c r="A101" t="s">
        <v>1170</v>
      </c>
      <c r="B101" t="s">
        <v>278</v>
      </c>
      <c r="C101" s="26">
        <v>980251.85</v>
      </c>
      <c r="D101" s="26">
        <v>0</v>
      </c>
      <c r="E101" s="26">
        <v>0</v>
      </c>
      <c r="F101" s="26">
        <v>0</v>
      </c>
      <c r="G101" s="26">
        <v>980251.85</v>
      </c>
      <c r="H101">
        <f>_xlfn.XLOOKUP(A101,indice!A:A,indice!C:C)</f>
        <v>6</v>
      </c>
      <c r="I101" t="str">
        <f>_xlfn.XLOOKUP(A101,indice!A:A,indice!D:D)</f>
        <v xml:space="preserve">Estoques </v>
      </c>
    </row>
    <row r="102" spans="1:9" x14ac:dyDescent="0.25">
      <c r="A102" t="s">
        <v>1171</v>
      </c>
      <c r="B102" t="s">
        <v>280</v>
      </c>
      <c r="C102" s="26">
        <v>1286808.8899999999</v>
      </c>
      <c r="D102" s="26">
        <v>0</v>
      </c>
      <c r="E102" s="26">
        <v>0</v>
      </c>
      <c r="F102" s="26">
        <v>0</v>
      </c>
      <c r="G102" s="26">
        <v>1286808.8899999999</v>
      </c>
      <c r="H102">
        <f>_xlfn.XLOOKUP(A102,indice!A:A,indice!C:C)</f>
        <v>6</v>
      </c>
      <c r="I102" t="str">
        <f>_xlfn.XLOOKUP(A102,indice!A:A,indice!D:D)</f>
        <v xml:space="preserve">Estoques </v>
      </c>
    </row>
    <row r="103" spans="1:9" x14ac:dyDescent="0.25">
      <c r="A103" t="s">
        <v>1172</v>
      </c>
      <c r="B103" t="s">
        <v>1173</v>
      </c>
      <c r="C103" s="26">
        <v>-2384314.25</v>
      </c>
      <c r="D103" s="26">
        <v>0</v>
      </c>
      <c r="E103" s="26">
        <v>0</v>
      </c>
      <c r="F103" s="26">
        <v>0</v>
      </c>
      <c r="G103" s="26">
        <v>-2384314.25</v>
      </c>
      <c r="H103">
        <f>_xlfn.XLOOKUP(A103,indice!A:A,indice!C:C)</f>
        <v>6</v>
      </c>
      <c r="I103" t="str">
        <f>_xlfn.XLOOKUP(A103,indice!A:A,indice!D:D)</f>
        <v xml:space="preserve">Estoques </v>
      </c>
    </row>
    <row r="104" spans="1:9" x14ac:dyDescent="0.25">
      <c r="A104" t="s">
        <v>281</v>
      </c>
      <c r="B104" t="s">
        <v>282</v>
      </c>
      <c r="C104" s="26">
        <v>28185772.600000001</v>
      </c>
      <c r="D104" s="26">
        <v>7118517.9900000002</v>
      </c>
      <c r="E104" s="26">
        <v>17236.95</v>
      </c>
      <c r="F104" s="26">
        <v>7101281.04</v>
      </c>
      <c r="G104" s="26">
        <v>35287053.640000001</v>
      </c>
      <c r="H104" t="str">
        <f>_xlfn.XLOOKUP(A104,indice!A:A,indice!C:C)</f>
        <v>S</v>
      </c>
      <c r="I104" t="str">
        <f>_xlfn.XLOOKUP(A104,indice!A:A,indice!D:D)</f>
        <v>SINTETICA</v>
      </c>
    </row>
    <row r="105" spans="1:9" x14ac:dyDescent="0.25">
      <c r="A105" t="s">
        <v>982</v>
      </c>
      <c r="B105" t="s">
        <v>983</v>
      </c>
      <c r="C105" s="26">
        <v>2510954.5</v>
      </c>
      <c r="D105" s="26">
        <v>4287800.75</v>
      </c>
      <c r="E105" s="26">
        <v>2465.75</v>
      </c>
      <c r="F105" s="26">
        <v>4285335</v>
      </c>
      <c r="G105" s="26">
        <v>6796289.5</v>
      </c>
      <c r="H105" t="str">
        <f>_xlfn.XLOOKUP(A105,indice!A:A,indice!C:C)</f>
        <v>S</v>
      </c>
      <c r="I105" t="str">
        <f>_xlfn.XLOOKUP(A105,indice!A:A,indice!D:D)</f>
        <v>SINTETICA</v>
      </c>
    </row>
    <row r="106" spans="1:9" x14ac:dyDescent="0.25">
      <c r="A106" t="s">
        <v>1061</v>
      </c>
      <c r="B106" t="s">
        <v>1062</v>
      </c>
      <c r="C106" s="26">
        <v>766972.93</v>
      </c>
      <c r="D106" s="26">
        <v>1142969.76</v>
      </c>
      <c r="E106" s="26">
        <v>0</v>
      </c>
      <c r="F106" s="26">
        <v>1142969.76</v>
      </c>
      <c r="G106" s="26">
        <v>1909942.69</v>
      </c>
      <c r="H106">
        <f>_xlfn.XLOOKUP(A106,indice!A:A,indice!C:C)</f>
        <v>7</v>
      </c>
      <c r="I106" t="str">
        <f>_xlfn.XLOOKUP(A106,indice!A:A,indice!D:D)</f>
        <v xml:space="preserve">Despesas do Exercício Seguinte </v>
      </c>
    </row>
    <row r="107" spans="1:9" x14ac:dyDescent="0.25">
      <c r="A107" t="s">
        <v>1063</v>
      </c>
      <c r="B107" t="s">
        <v>1064</v>
      </c>
      <c r="C107" s="26">
        <v>1718678.37</v>
      </c>
      <c r="D107" s="26">
        <v>3144830.99</v>
      </c>
      <c r="E107" s="26">
        <v>0</v>
      </c>
      <c r="F107" s="26">
        <v>3144830.99</v>
      </c>
      <c r="G107" s="26">
        <v>4863509.3600000003</v>
      </c>
      <c r="H107">
        <f>_xlfn.XLOOKUP(A107,indice!A:A,indice!C:C)</f>
        <v>7</v>
      </c>
      <c r="I107" t="str">
        <f>_xlfn.XLOOKUP(A107,indice!A:A,indice!D:D)</f>
        <v xml:space="preserve">Despesas do Exercício Seguinte </v>
      </c>
    </row>
    <row r="108" spans="1:9" x14ac:dyDescent="0.25">
      <c r="A108" t="s">
        <v>984</v>
      </c>
      <c r="B108" t="s">
        <v>985</v>
      </c>
      <c r="C108" s="26">
        <v>25303.200000000001</v>
      </c>
      <c r="D108" s="26">
        <v>0</v>
      </c>
      <c r="E108" s="26">
        <v>2465.75</v>
      </c>
      <c r="F108" s="26">
        <v>-2465.75</v>
      </c>
      <c r="G108" s="26">
        <v>22837.45</v>
      </c>
      <c r="H108">
        <f>_xlfn.XLOOKUP(A108,indice!A:A,indice!C:C)</f>
        <v>7</v>
      </c>
      <c r="I108" t="str">
        <f>_xlfn.XLOOKUP(A108,indice!A:A,indice!D:D)</f>
        <v xml:space="preserve">Despesas do Exercício Seguinte </v>
      </c>
    </row>
    <row r="109" spans="1:9" x14ac:dyDescent="0.25">
      <c r="A109" t="s">
        <v>283</v>
      </c>
      <c r="B109" t="s">
        <v>284</v>
      </c>
      <c r="C109" s="26">
        <v>95432.15</v>
      </c>
      <c r="D109" s="26">
        <v>29643.83</v>
      </c>
      <c r="E109" s="26">
        <v>14771.2</v>
      </c>
      <c r="F109" s="26">
        <v>14872.63</v>
      </c>
      <c r="G109" s="26">
        <v>110304.78</v>
      </c>
      <c r="H109" t="str">
        <f>_xlfn.XLOOKUP(A109,indice!A:A,indice!C:C)</f>
        <v>S</v>
      </c>
      <c r="I109" t="str">
        <f>_xlfn.XLOOKUP(A109,indice!A:A,indice!D:D)</f>
        <v>SINTETICA</v>
      </c>
    </row>
    <row r="110" spans="1:9" x14ac:dyDescent="0.25">
      <c r="A110" t="s">
        <v>285</v>
      </c>
      <c r="B110" t="s">
        <v>286</v>
      </c>
      <c r="C110" s="26">
        <v>95432.15</v>
      </c>
      <c r="D110" s="26">
        <v>29643.83</v>
      </c>
      <c r="E110" s="26">
        <v>14771.2</v>
      </c>
      <c r="F110" s="26">
        <v>14872.63</v>
      </c>
      <c r="G110" s="26">
        <v>110304.78</v>
      </c>
      <c r="H110">
        <f>_xlfn.XLOOKUP(A110,indice!A:A,indice!C:C)</f>
        <v>7</v>
      </c>
      <c r="I110" t="str">
        <f>_xlfn.XLOOKUP(A110,indice!A:A,indice!D:D)</f>
        <v xml:space="preserve">Despesas do Exercício Seguinte </v>
      </c>
    </row>
    <row r="111" spans="1:9" x14ac:dyDescent="0.25">
      <c r="A111" t="s">
        <v>287</v>
      </c>
      <c r="B111" t="s">
        <v>288</v>
      </c>
      <c r="C111" s="26">
        <v>25579385.949999999</v>
      </c>
      <c r="D111" s="26">
        <v>2801073.41</v>
      </c>
      <c r="E111" s="26">
        <v>0</v>
      </c>
      <c r="F111" s="26">
        <v>2801073.41</v>
      </c>
      <c r="G111" s="26">
        <v>28380459.359999999</v>
      </c>
      <c r="H111" t="str">
        <f>_xlfn.XLOOKUP(A111,indice!A:A,indice!C:C)</f>
        <v>S</v>
      </c>
      <c r="I111" t="str">
        <f>_xlfn.XLOOKUP(A111,indice!A:A,indice!D:D)</f>
        <v>SINTETICA</v>
      </c>
    </row>
    <row r="112" spans="1:9" x14ac:dyDescent="0.25">
      <c r="A112" t="s">
        <v>291</v>
      </c>
      <c r="B112" t="s">
        <v>292</v>
      </c>
      <c r="C112" s="26">
        <v>25901838.25</v>
      </c>
      <c r="D112" s="26">
        <v>2801073.41</v>
      </c>
      <c r="E112" s="26">
        <v>0</v>
      </c>
      <c r="F112" s="26">
        <v>2801073.41</v>
      </c>
      <c r="G112" s="26">
        <v>28702911.66</v>
      </c>
      <c r="H112">
        <f>_xlfn.XLOOKUP(A112,indice!A:A,indice!C:C)</f>
        <v>8</v>
      </c>
      <c r="I112" t="str">
        <f>_xlfn.XLOOKUP(A112,indice!A:A,indice!D:D)</f>
        <v>Ativo Biológico</v>
      </c>
    </row>
    <row r="113" spans="1:9" x14ac:dyDescent="0.25">
      <c r="A113" t="s">
        <v>295</v>
      </c>
      <c r="B113" t="s">
        <v>296</v>
      </c>
      <c r="C113" s="26">
        <v>-322452.3</v>
      </c>
      <c r="D113" s="26">
        <v>0</v>
      </c>
      <c r="E113" s="26">
        <v>0</v>
      </c>
      <c r="F113" s="26">
        <v>0</v>
      </c>
      <c r="G113" s="26">
        <v>-322452.3</v>
      </c>
      <c r="H113">
        <f>_xlfn.XLOOKUP(A113,indice!A:A,indice!C:C)</f>
        <v>8</v>
      </c>
      <c r="I113" t="str">
        <f>_xlfn.XLOOKUP(A113,indice!A:A,indice!D:D)</f>
        <v>Ativo Biológico</v>
      </c>
    </row>
    <row r="114" spans="1:9" x14ac:dyDescent="0.25">
      <c r="A114" t="s">
        <v>297</v>
      </c>
      <c r="B114" t="s">
        <v>298</v>
      </c>
      <c r="C114" s="26">
        <v>12681464.460000001</v>
      </c>
      <c r="D114" s="26">
        <v>0</v>
      </c>
      <c r="E114" s="26">
        <v>0</v>
      </c>
      <c r="F114" s="26">
        <v>0</v>
      </c>
      <c r="G114" s="26">
        <v>12681464.460000001</v>
      </c>
      <c r="H114" t="str">
        <f>_xlfn.XLOOKUP(A114,indice!A:A,indice!C:C)</f>
        <v>S</v>
      </c>
      <c r="I114" t="str">
        <f>_xlfn.XLOOKUP(A114,indice!A:A,indice!D:D)</f>
        <v>SINTETICA</v>
      </c>
    </row>
    <row r="115" spans="1:9" x14ac:dyDescent="0.25">
      <c r="A115" t="s">
        <v>299</v>
      </c>
      <c r="B115" t="s">
        <v>300</v>
      </c>
      <c r="C115" s="26">
        <v>12681464.460000001</v>
      </c>
      <c r="D115" s="26">
        <v>0</v>
      </c>
      <c r="E115" s="26">
        <v>0</v>
      </c>
      <c r="F115" s="26">
        <v>0</v>
      </c>
      <c r="G115" s="26">
        <v>12681464.460000001</v>
      </c>
      <c r="H115" t="str">
        <f>_xlfn.XLOOKUP(A115,indice!A:A,indice!C:C)</f>
        <v>S</v>
      </c>
      <c r="I115" t="str">
        <f>_xlfn.XLOOKUP(A115,indice!A:A,indice!D:D)</f>
        <v>SINTETICA</v>
      </c>
    </row>
    <row r="116" spans="1:9" x14ac:dyDescent="0.25">
      <c r="A116" t="s">
        <v>301</v>
      </c>
      <c r="B116" t="s">
        <v>302</v>
      </c>
      <c r="C116" s="26">
        <v>11890268.630000001</v>
      </c>
      <c r="D116" s="26">
        <v>0</v>
      </c>
      <c r="E116" s="26">
        <v>0</v>
      </c>
      <c r="F116" s="26">
        <v>0</v>
      </c>
      <c r="G116" s="26">
        <v>11890268.630000001</v>
      </c>
      <c r="H116">
        <f>_xlfn.XLOOKUP(A116,indice!A:A,indice!C:C)</f>
        <v>9</v>
      </c>
      <c r="I116" t="str">
        <f>_xlfn.XLOOKUP(A116,indice!A:A,indice!D:D)</f>
        <v>Depositos Judiciais</v>
      </c>
    </row>
    <row r="117" spans="1:9" x14ac:dyDescent="0.25">
      <c r="A117" t="s">
        <v>303</v>
      </c>
      <c r="B117" t="s">
        <v>304</v>
      </c>
      <c r="C117" s="26">
        <v>564372.18000000005</v>
      </c>
      <c r="D117" s="26">
        <v>0</v>
      </c>
      <c r="E117" s="26">
        <v>0</v>
      </c>
      <c r="F117" s="26">
        <v>0</v>
      </c>
      <c r="G117" s="26">
        <v>564372.18000000005</v>
      </c>
      <c r="H117">
        <f>_xlfn.XLOOKUP(A117,indice!A:A,indice!C:C)</f>
        <v>9</v>
      </c>
      <c r="I117" t="str">
        <f>_xlfn.XLOOKUP(A117,indice!A:A,indice!D:D)</f>
        <v>Depositos Judiciais</v>
      </c>
    </row>
    <row r="118" spans="1:9" x14ac:dyDescent="0.25">
      <c r="A118" t="s">
        <v>305</v>
      </c>
      <c r="B118" t="s">
        <v>306</v>
      </c>
      <c r="C118" s="26">
        <v>226823.65</v>
      </c>
      <c r="D118" s="26">
        <v>0</v>
      </c>
      <c r="E118" s="26">
        <v>0</v>
      </c>
      <c r="F118" s="26">
        <v>0</v>
      </c>
      <c r="G118" s="26">
        <v>226823.65</v>
      </c>
      <c r="H118">
        <f>_xlfn.XLOOKUP(A118,indice!A:A,indice!C:C)</f>
        <v>9</v>
      </c>
      <c r="I118" t="str">
        <f>_xlfn.XLOOKUP(A118,indice!A:A,indice!D:D)</f>
        <v>Depositos Judiciais</v>
      </c>
    </row>
    <row r="119" spans="1:9" x14ac:dyDescent="0.25">
      <c r="A119" t="s">
        <v>307</v>
      </c>
      <c r="B119" t="s">
        <v>308</v>
      </c>
      <c r="C119" s="26">
        <v>7757745.3399999999</v>
      </c>
      <c r="D119" s="26">
        <v>164010.18</v>
      </c>
      <c r="E119" s="26">
        <v>156742.16</v>
      </c>
      <c r="F119" s="26">
        <v>7268.02</v>
      </c>
      <c r="G119" s="26">
        <v>7765013.3600000003</v>
      </c>
      <c r="H119" t="str">
        <f>_xlfn.XLOOKUP(A119,indice!A:A,indice!C:C)</f>
        <v>S</v>
      </c>
      <c r="I119" t="str">
        <f>_xlfn.XLOOKUP(A119,indice!A:A,indice!D:D)</f>
        <v>SINTETICA</v>
      </c>
    </row>
    <row r="120" spans="1:9" x14ac:dyDescent="0.25">
      <c r="A120" t="s">
        <v>309</v>
      </c>
      <c r="B120" t="s">
        <v>310</v>
      </c>
      <c r="C120" s="26">
        <v>7757745.3399999999</v>
      </c>
      <c r="D120" s="26">
        <v>164010.18</v>
      </c>
      <c r="E120" s="26">
        <v>156742.16</v>
      </c>
      <c r="F120" s="26">
        <v>7268.02</v>
      </c>
      <c r="G120" s="26">
        <v>7765013.3600000003</v>
      </c>
      <c r="H120" t="str">
        <f>_xlfn.XLOOKUP(A120,indice!A:A,indice!C:C)</f>
        <v>S</v>
      </c>
      <c r="I120" t="str">
        <f>_xlfn.XLOOKUP(A120,indice!A:A,indice!D:D)</f>
        <v>SINTETICA</v>
      </c>
    </row>
    <row r="121" spans="1:9" x14ac:dyDescent="0.25">
      <c r="A121" t="s">
        <v>311</v>
      </c>
      <c r="B121" t="s">
        <v>312</v>
      </c>
      <c r="C121" s="26">
        <v>7133254.8499999996</v>
      </c>
      <c r="D121" s="26">
        <v>0</v>
      </c>
      <c r="E121" s="26">
        <v>0</v>
      </c>
      <c r="F121" s="26">
        <v>0</v>
      </c>
      <c r="G121" s="26">
        <v>7133254.8499999996</v>
      </c>
      <c r="H121" t="str">
        <f>_xlfn.XLOOKUP(A121,indice!A:A,indice!C:C)</f>
        <v>S</v>
      </c>
      <c r="I121" t="str">
        <f>_xlfn.XLOOKUP(A121,indice!A:A,indice!D:D)</f>
        <v>SINTETICA</v>
      </c>
    </row>
    <row r="122" spans="1:9" x14ac:dyDescent="0.25">
      <c r="A122" t="s">
        <v>313</v>
      </c>
      <c r="B122" t="s">
        <v>314</v>
      </c>
      <c r="C122" s="26">
        <v>7133254.8499999996</v>
      </c>
      <c r="D122" s="26">
        <v>0</v>
      </c>
      <c r="E122" s="26">
        <v>0</v>
      </c>
      <c r="F122" s="26">
        <v>0</v>
      </c>
      <c r="G122" s="26">
        <v>7133254.8499999996</v>
      </c>
      <c r="H122">
        <f>_xlfn.XLOOKUP(A122,indice!A:A,indice!C:C)</f>
        <v>10</v>
      </c>
      <c r="I122" t="str">
        <f>_xlfn.XLOOKUP(A122,indice!A:A,indice!D:D)</f>
        <v xml:space="preserve">Transações com Partes Relacionadas </v>
      </c>
    </row>
    <row r="123" spans="1:9" x14ac:dyDescent="0.25">
      <c r="A123" t="s">
        <v>315</v>
      </c>
      <c r="B123" t="s">
        <v>316</v>
      </c>
      <c r="C123" s="26">
        <v>578781.22</v>
      </c>
      <c r="D123" s="26">
        <v>164010.18</v>
      </c>
      <c r="E123" s="26">
        <v>156742.16</v>
      </c>
      <c r="F123" s="26">
        <v>7268.02</v>
      </c>
      <c r="G123" s="26">
        <v>586049.24</v>
      </c>
      <c r="H123" t="str">
        <f>_xlfn.XLOOKUP(A123,indice!A:A,indice!C:C)</f>
        <v>S</v>
      </c>
      <c r="I123" t="str">
        <f>_xlfn.XLOOKUP(A123,indice!A:A,indice!D:D)</f>
        <v>SINTETICA</v>
      </c>
    </row>
    <row r="124" spans="1:9" x14ac:dyDescent="0.25">
      <c r="A124" t="s">
        <v>317</v>
      </c>
      <c r="B124" t="s">
        <v>318</v>
      </c>
      <c r="C124" s="26">
        <v>301206.67</v>
      </c>
      <c r="D124" s="26">
        <v>14535.04</v>
      </c>
      <c r="E124" s="26">
        <v>7267.02</v>
      </c>
      <c r="F124" s="26">
        <v>7268.02</v>
      </c>
      <c r="G124" s="26">
        <v>308474.69</v>
      </c>
      <c r="H124">
        <f>_xlfn.XLOOKUP(A124,indice!A:A,indice!C:C)</f>
        <v>11</v>
      </c>
      <c r="I124" t="str">
        <f>_xlfn.XLOOKUP(A124,indice!A:A,indice!D:D)</f>
        <v xml:space="preserve">Depositos Judiciais  </v>
      </c>
    </row>
    <row r="125" spans="1:9" x14ac:dyDescent="0.25">
      <c r="A125" t="s">
        <v>319</v>
      </c>
      <c r="B125" t="s">
        <v>320</v>
      </c>
      <c r="C125" s="26">
        <v>20037.650000000001</v>
      </c>
      <c r="D125" s="26">
        <v>149475.14000000001</v>
      </c>
      <c r="E125" s="26">
        <v>149475.14000000001</v>
      </c>
      <c r="F125" s="26">
        <v>0</v>
      </c>
      <c r="G125" s="26">
        <v>20037.650000000001</v>
      </c>
      <c r="H125">
        <f>_xlfn.XLOOKUP(A125,indice!A:A,indice!C:C)</f>
        <v>11</v>
      </c>
      <c r="I125" t="str">
        <f>_xlfn.XLOOKUP(A125,indice!A:A,indice!D:D)</f>
        <v xml:space="preserve">Depositos Judiciais  </v>
      </c>
    </row>
    <row r="126" spans="1:9" x14ac:dyDescent="0.25">
      <c r="A126" t="s">
        <v>321</v>
      </c>
      <c r="B126" t="s">
        <v>322</v>
      </c>
      <c r="C126" s="26">
        <v>230416.9</v>
      </c>
      <c r="D126" s="26">
        <v>0</v>
      </c>
      <c r="E126" s="26">
        <v>0</v>
      </c>
      <c r="F126" s="26">
        <v>0</v>
      </c>
      <c r="G126" s="26">
        <v>230416.9</v>
      </c>
      <c r="H126">
        <f>_xlfn.XLOOKUP(A126,indice!A:A,indice!C:C)</f>
        <v>11</v>
      </c>
      <c r="I126" t="str">
        <f>_xlfn.XLOOKUP(A126,indice!A:A,indice!D:D)</f>
        <v xml:space="preserve">Depositos Judiciais  </v>
      </c>
    </row>
    <row r="127" spans="1:9" x14ac:dyDescent="0.25">
      <c r="A127" t="s">
        <v>323</v>
      </c>
      <c r="B127" t="s">
        <v>324</v>
      </c>
      <c r="C127" s="26">
        <v>27120</v>
      </c>
      <c r="D127" s="26">
        <v>0</v>
      </c>
      <c r="E127" s="26">
        <v>0</v>
      </c>
      <c r="F127" s="26">
        <v>0</v>
      </c>
      <c r="G127" s="26">
        <v>27120</v>
      </c>
      <c r="H127">
        <f>_xlfn.XLOOKUP(A127,indice!A:A,indice!C:C)</f>
        <v>11</v>
      </c>
      <c r="I127" t="str">
        <f>_xlfn.XLOOKUP(A127,indice!A:A,indice!D:D)</f>
        <v xml:space="preserve">Depositos Judiciais  </v>
      </c>
    </row>
    <row r="128" spans="1:9" x14ac:dyDescent="0.25">
      <c r="A128" t="s">
        <v>999</v>
      </c>
      <c r="B128" t="s">
        <v>1000</v>
      </c>
      <c r="C128" s="26">
        <v>45709.27</v>
      </c>
      <c r="D128" s="26">
        <v>0</v>
      </c>
      <c r="E128" s="26">
        <v>0</v>
      </c>
      <c r="F128" s="26">
        <v>0</v>
      </c>
      <c r="G128" s="26">
        <v>45709.27</v>
      </c>
      <c r="H128" t="str">
        <f>_xlfn.XLOOKUP(A128,indice!A:A,indice!C:C)</f>
        <v>S</v>
      </c>
      <c r="I128" t="str">
        <f>_xlfn.XLOOKUP(A128,indice!A:A,indice!D:D)</f>
        <v>SINTETICA</v>
      </c>
    </row>
    <row r="129" spans="1:9" x14ac:dyDescent="0.25">
      <c r="A129" t="s">
        <v>1001</v>
      </c>
      <c r="B129" t="s">
        <v>118</v>
      </c>
      <c r="C129" s="26">
        <v>5321.86</v>
      </c>
      <c r="D129" s="26">
        <v>0</v>
      </c>
      <c r="E129" s="26">
        <v>0</v>
      </c>
      <c r="F129" s="26">
        <v>0</v>
      </c>
      <c r="G129" s="26">
        <v>5321.86</v>
      </c>
      <c r="H129">
        <f>_xlfn.XLOOKUP(A129,indice!A:A,indice!C:C)</f>
        <v>13</v>
      </c>
      <c r="I129" t="str">
        <f>_xlfn.XLOOKUP(A129,indice!A:A,indice!D:D)</f>
        <v>Outros Créditos</v>
      </c>
    </row>
    <row r="130" spans="1:9" x14ac:dyDescent="0.25">
      <c r="A130" t="s">
        <v>1002</v>
      </c>
      <c r="B130" t="s">
        <v>120</v>
      </c>
      <c r="C130" s="26">
        <v>40387.410000000003</v>
      </c>
      <c r="D130" s="26">
        <v>0</v>
      </c>
      <c r="E130" s="26">
        <v>0</v>
      </c>
      <c r="F130" s="26">
        <v>0</v>
      </c>
      <c r="G130" s="26">
        <v>40387.410000000003</v>
      </c>
      <c r="H130">
        <f>_xlfn.XLOOKUP(A130,indice!A:A,indice!C:C)</f>
        <v>13</v>
      </c>
      <c r="I130" t="str">
        <f>_xlfn.XLOOKUP(A130,indice!A:A,indice!D:D)</f>
        <v>Outros Créditos</v>
      </c>
    </row>
    <row r="131" spans="1:9" x14ac:dyDescent="0.25">
      <c r="A131" t="s">
        <v>325</v>
      </c>
      <c r="B131" t="s">
        <v>326</v>
      </c>
      <c r="C131" s="26">
        <v>188064779.28999999</v>
      </c>
      <c r="D131" s="26">
        <v>701339.68</v>
      </c>
      <c r="E131" s="26">
        <v>1294599.05</v>
      </c>
      <c r="F131" s="26">
        <v>-593259.37</v>
      </c>
      <c r="G131" s="26">
        <v>187471519.91999999</v>
      </c>
      <c r="H131" t="str">
        <f>_xlfn.XLOOKUP(A131,indice!A:A,indice!C:C)</f>
        <v>S</v>
      </c>
      <c r="I131" t="str">
        <f>_xlfn.XLOOKUP(A131,indice!A:A,indice!D:D)</f>
        <v>SINTETICA</v>
      </c>
    </row>
    <row r="132" spans="1:9" x14ac:dyDescent="0.25">
      <c r="A132" t="s">
        <v>327</v>
      </c>
      <c r="B132" t="s">
        <v>134</v>
      </c>
      <c r="C132" s="26">
        <v>9540848.3800000008</v>
      </c>
      <c r="D132" s="26">
        <v>0</v>
      </c>
      <c r="E132" s="26">
        <v>0</v>
      </c>
      <c r="F132" s="26">
        <v>0</v>
      </c>
      <c r="G132" s="26">
        <v>9540848.3800000008</v>
      </c>
      <c r="H132" t="str">
        <f>_xlfn.XLOOKUP(A132,indice!A:A,indice!C:C)</f>
        <v>S</v>
      </c>
      <c r="I132" t="str">
        <f>_xlfn.XLOOKUP(A132,indice!A:A,indice!D:D)</f>
        <v>SINTETICA</v>
      </c>
    </row>
    <row r="133" spans="1:9" x14ac:dyDescent="0.25">
      <c r="A133" t="s">
        <v>328</v>
      </c>
      <c r="B133" t="s">
        <v>329</v>
      </c>
      <c r="C133" s="26">
        <v>9517318.25</v>
      </c>
      <c r="D133" s="26">
        <v>0</v>
      </c>
      <c r="E133" s="26">
        <v>0</v>
      </c>
      <c r="F133" s="26">
        <v>0</v>
      </c>
      <c r="G133" s="26">
        <v>9517318.25</v>
      </c>
      <c r="H133" t="str">
        <f>_xlfn.XLOOKUP(A133,indice!A:A,indice!C:C)</f>
        <v>S</v>
      </c>
      <c r="I133" t="str">
        <f>_xlfn.XLOOKUP(A133,indice!A:A,indice!D:D)</f>
        <v>SINTETICA</v>
      </c>
    </row>
    <row r="134" spans="1:9" x14ac:dyDescent="0.25">
      <c r="A134" t="s">
        <v>330</v>
      </c>
      <c r="B134" t="s">
        <v>331</v>
      </c>
      <c r="C134" s="26">
        <v>7991.06</v>
      </c>
      <c r="D134" s="26">
        <v>0</v>
      </c>
      <c r="E134" s="26">
        <v>0</v>
      </c>
      <c r="F134" s="26">
        <v>0</v>
      </c>
      <c r="G134" s="26">
        <v>7991.06</v>
      </c>
      <c r="H134">
        <f>_xlfn.XLOOKUP(A134,indice!A:A,indice!C:C)</f>
        <v>14</v>
      </c>
      <c r="I134" t="str">
        <f>_xlfn.XLOOKUP(A134,indice!A:A,indice!D:D)</f>
        <v xml:space="preserve">Investimentos </v>
      </c>
    </row>
    <row r="135" spans="1:9" x14ac:dyDescent="0.25">
      <c r="A135" t="s">
        <v>332</v>
      </c>
      <c r="B135" t="s">
        <v>333</v>
      </c>
      <c r="C135" s="26">
        <v>28.41</v>
      </c>
      <c r="D135" s="26">
        <v>0</v>
      </c>
      <c r="E135" s="26">
        <v>0</v>
      </c>
      <c r="F135" s="26">
        <v>0</v>
      </c>
      <c r="G135" s="26">
        <v>28.41</v>
      </c>
      <c r="H135">
        <f>_xlfn.XLOOKUP(A135,indice!A:A,indice!C:C)</f>
        <v>14</v>
      </c>
      <c r="I135" t="str">
        <f>_xlfn.XLOOKUP(A135,indice!A:A,indice!D:D)</f>
        <v xml:space="preserve">Investimentos </v>
      </c>
    </row>
    <row r="136" spans="1:9" x14ac:dyDescent="0.25">
      <c r="A136" t="s">
        <v>334</v>
      </c>
      <c r="B136" t="s">
        <v>335</v>
      </c>
      <c r="C136" s="26">
        <v>1205.83</v>
      </c>
      <c r="D136" s="26">
        <v>0</v>
      </c>
      <c r="E136" s="26">
        <v>0</v>
      </c>
      <c r="F136" s="26">
        <v>0</v>
      </c>
      <c r="G136" s="26">
        <v>1205.83</v>
      </c>
      <c r="H136">
        <f>_xlfn.XLOOKUP(A136,indice!A:A,indice!C:C)</f>
        <v>14</v>
      </c>
      <c r="I136" t="str">
        <f>_xlfn.XLOOKUP(A136,indice!A:A,indice!D:D)</f>
        <v xml:space="preserve">Investimentos </v>
      </c>
    </row>
    <row r="137" spans="1:9" x14ac:dyDescent="0.25">
      <c r="A137" t="s">
        <v>336</v>
      </c>
      <c r="B137" t="s">
        <v>337</v>
      </c>
      <c r="C137" s="26">
        <v>1171.45</v>
      </c>
      <c r="D137" s="26">
        <v>0</v>
      </c>
      <c r="E137" s="26">
        <v>0</v>
      </c>
      <c r="F137" s="26">
        <v>0</v>
      </c>
      <c r="G137" s="26">
        <v>1171.45</v>
      </c>
      <c r="H137">
        <f>_xlfn.XLOOKUP(A137,indice!A:A,indice!C:C)</f>
        <v>14</v>
      </c>
      <c r="I137" t="str">
        <f>_xlfn.XLOOKUP(A137,indice!A:A,indice!D:D)</f>
        <v xml:space="preserve">Investimentos </v>
      </c>
    </row>
    <row r="138" spans="1:9" x14ac:dyDescent="0.25">
      <c r="A138" t="s">
        <v>338</v>
      </c>
      <c r="B138" t="s">
        <v>339</v>
      </c>
      <c r="C138" s="26">
        <v>608</v>
      </c>
      <c r="D138" s="26">
        <v>0</v>
      </c>
      <c r="E138" s="26">
        <v>0</v>
      </c>
      <c r="F138" s="26">
        <v>0</v>
      </c>
      <c r="G138" s="26">
        <v>608</v>
      </c>
      <c r="H138">
        <f>_xlfn.XLOOKUP(A138,indice!A:A,indice!C:C)</f>
        <v>14</v>
      </c>
      <c r="I138" t="str">
        <f>_xlfn.XLOOKUP(A138,indice!A:A,indice!D:D)</f>
        <v xml:space="preserve">Investimentos </v>
      </c>
    </row>
    <row r="139" spans="1:9" x14ac:dyDescent="0.25">
      <c r="A139" t="s">
        <v>340</v>
      </c>
      <c r="B139" t="s">
        <v>341</v>
      </c>
      <c r="C139" s="26">
        <v>115.9</v>
      </c>
      <c r="D139" s="26">
        <v>0</v>
      </c>
      <c r="E139" s="26">
        <v>0</v>
      </c>
      <c r="F139" s="26">
        <v>0</v>
      </c>
      <c r="G139" s="26">
        <v>115.9</v>
      </c>
      <c r="H139">
        <f>_xlfn.XLOOKUP(A139,indice!A:A,indice!C:C)</f>
        <v>14</v>
      </c>
      <c r="I139" t="str">
        <f>_xlfn.XLOOKUP(A139,indice!A:A,indice!D:D)</f>
        <v xml:space="preserve">Investimentos </v>
      </c>
    </row>
    <row r="140" spans="1:9" x14ac:dyDescent="0.25">
      <c r="A140" t="s">
        <v>342</v>
      </c>
      <c r="B140" t="s">
        <v>343</v>
      </c>
      <c r="C140" s="26">
        <v>137.78</v>
      </c>
      <c r="D140" s="26">
        <v>0</v>
      </c>
      <c r="E140" s="26">
        <v>0</v>
      </c>
      <c r="F140" s="26">
        <v>0</v>
      </c>
      <c r="G140" s="26">
        <v>137.78</v>
      </c>
      <c r="H140">
        <f>_xlfn.XLOOKUP(A140,indice!A:A,indice!C:C)</f>
        <v>14</v>
      </c>
      <c r="I140" t="str">
        <f>_xlfn.XLOOKUP(A140,indice!A:A,indice!D:D)</f>
        <v xml:space="preserve">Investimentos </v>
      </c>
    </row>
    <row r="141" spans="1:9" x14ac:dyDescent="0.25">
      <c r="A141" t="s">
        <v>344</v>
      </c>
      <c r="B141" t="s">
        <v>345</v>
      </c>
      <c r="C141" s="26">
        <v>504.36</v>
      </c>
      <c r="D141" s="26">
        <v>0</v>
      </c>
      <c r="E141" s="26">
        <v>0</v>
      </c>
      <c r="F141" s="26">
        <v>0</v>
      </c>
      <c r="G141" s="26">
        <v>504.36</v>
      </c>
      <c r="H141">
        <f>_xlfn.XLOOKUP(A141,indice!A:A,indice!C:C)</f>
        <v>14</v>
      </c>
      <c r="I141" t="str">
        <f>_xlfn.XLOOKUP(A141,indice!A:A,indice!D:D)</f>
        <v xml:space="preserve">Investimentos </v>
      </c>
    </row>
    <row r="142" spans="1:9" x14ac:dyDescent="0.25">
      <c r="A142" t="s">
        <v>346</v>
      </c>
      <c r="B142" t="s">
        <v>347</v>
      </c>
      <c r="C142" s="26">
        <v>20.7</v>
      </c>
      <c r="D142" s="26">
        <v>0</v>
      </c>
      <c r="E142" s="26">
        <v>0</v>
      </c>
      <c r="F142" s="26">
        <v>0</v>
      </c>
      <c r="G142" s="26">
        <v>20.7</v>
      </c>
      <c r="H142">
        <f>_xlfn.XLOOKUP(A142,indice!A:A,indice!C:C)</f>
        <v>14</v>
      </c>
      <c r="I142" t="str">
        <f>_xlfn.XLOOKUP(A142,indice!A:A,indice!D:D)</f>
        <v xml:space="preserve">Investimentos </v>
      </c>
    </row>
    <row r="143" spans="1:9" x14ac:dyDescent="0.25">
      <c r="A143" t="s">
        <v>348</v>
      </c>
      <c r="B143" t="s">
        <v>349</v>
      </c>
      <c r="C143" s="26">
        <v>528.51</v>
      </c>
      <c r="D143" s="26">
        <v>0</v>
      </c>
      <c r="E143" s="26">
        <v>0</v>
      </c>
      <c r="F143" s="26">
        <v>0</v>
      </c>
      <c r="G143" s="26">
        <v>528.51</v>
      </c>
      <c r="H143">
        <f>_xlfn.XLOOKUP(A143,indice!A:A,indice!C:C)</f>
        <v>14</v>
      </c>
      <c r="I143" t="str">
        <f>_xlfn.XLOOKUP(A143,indice!A:A,indice!D:D)</f>
        <v xml:space="preserve">Investimentos </v>
      </c>
    </row>
    <row r="144" spans="1:9" x14ac:dyDescent="0.25">
      <c r="A144" t="s">
        <v>350</v>
      </c>
      <c r="B144" t="s">
        <v>351</v>
      </c>
      <c r="C144" s="26">
        <v>3289.9</v>
      </c>
      <c r="D144" s="26">
        <v>0</v>
      </c>
      <c r="E144" s="26">
        <v>0</v>
      </c>
      <c r="F144" s="26">
        <v>0</v>
      </c>
      <c r="G144" s="26">
        <v>3289.9</v>
      </c>
      <c r="H144">
        <f>_xlfn.XLOOKUP(A144,indice!A:A,indice!C:C)</f>
        <v>14</v>
      </c>
      <c r="I144" t="str">
        <f>_xlfn.XLOOKUP(A144,indice!A:A,indice!D:D)</f>
        <v xml:space="preserve">Investimentos </v>
      </c>
    </row>
    <row r="145" spans="1:9" x14ac:dyDescent="0.25">
      <c r="A145" t="s">
        <v>352</v>
      </c>
      <c r="B145" t="s">
        <v>353</v>
      </c>
      <c r="C145" s="26">
        <v>1350.7</v>
      </c>
      <c r="D145" s="26">
        <v>0</v>
      </c>
      <c r="E145" s="26">
        <v>0</v>
      </c>
      <c r="F145" s="26">
        <v>0</v>
      </c>
      <c r="G145" s="26">
        <v>1350.7</v>
      </c>
      <c r="H145">
        <f>_xlfn.XLOOKUP(A145,indice!A:A,indice!C:C)</f>
        <v>14</v>
      </c>
      <c r="I145" t="str">
        <f>_xlfn.XLOOKUP(A145,indice!A:A,indice!D:D)</f>
        <v xml:space="preserve">Investimentos </v>
      </c>
    </row>
    <row r="146" spans="1:9" x14ac:dyDescent="0.25">
      <c r="A146" t="s">
        <v>354</v>
      </c>
      <c r="B146" t="s">
        <v>355</v>
      </c>
      <c r="C146" s="26">
        <v>3267.34</v>
      </c>
      <c r="D146" s="26">
        <v>0</v>
      </c>
      <c r="E146" s="26">
        <v>0</v>
      </c>
      <c r="F146" s="26">
        <v>0</v>
      </c>
      <c r="G146" s="26">
        <v>3267.34</v>
      </c>
      <c r="H146">
        <f>_xlfn.XLOOKUP(A146,indice!A:A,indice!C:C)</f>
        <v>14</v>
      </c>
      <c r="I146" t="str">
        <f>_xlfn.XLOOKUP(A146,indice!A:A,indice!D:D)</f>
        <v xml:space="preserve">Investimentos </v>
      </c>
    </row>
    <row r="147" spans="1:9" x14ac:dyDescent="0.25">
      <c r="A147" t="s">
        <v>356</v>
      </c>
      <c r="B147" t="s">
        <v>357</v>
      </c>
      <c r="C147" s="26">
        <v>243879.42</v>
      </c>
      <c r="D147" s="26">
        <v>0</v>
      </c>
      <c r="E147" s="26">
        <v>0</v>
      </c>
      <c r="F147" s="26">
        <v>0</v>
      </c>
      <c r="G147" s="26">
        <v>243879.42</v>
      </c>
      <c r="H147">
        <f>_xlfn.XLOOKUP(A147,indice!A:A,indice!C:C)</f>
        <v>14</v>
      </c>
      <c r="I147" t="str">
        <f>_xlfn.XLOOKUP(A147,indice!A:A,indice!D:D)</f>
        <v xml:space="preserve">Investimentos </v>
      </c>
    </row>
    <row r="148" spans="1:9" x14ac:dyDescent="0.25">
      <c r="A148" t="s">
        <v>358</v>
      </c>
      <c r="B148" t="s">
        <v>359</v>
      </c>
      <c r="C148" s="26">
        <v>1400000</v>
      </c>
      <c r="D148" s="26">
        <v>0</v>
      </c>
      <c r="E148" s="26">
        <v>0</v>
      </c>
      <c r="F148" s="26">
        <v>0</v>
      </c>
      <c r="G148" s="26">
        <v>1400000</v>
      </c>
      <c r="H148">
        <f>_xlfn.XLOOKUP(A148,indice!A:A,indice!C:C)</f>
        <v>14</v>
      </c>
      <c r="I148" t="str">
        <f>_xlfn.XLOOKUP(A148,indice!A:A,indice!D:D)</f>
        <v xml:space="preserve">Investimentos </v>
      </c>
    </row>
    <row r="149" spans="1:9" x14ac:dyDescent="0.25">
      <c r="A149" t="s">
        <v>362</v>
      </c>
      <c r="B149" t="s">
        <v>363</v>
      </c>
      <c r="C149" s="26">
        <v>7853218.8899999997</v>
      </c>
      <c r="D149" s="26">
        <v>0</v>
      </c>
      <c r="E149" s="26">
        <v>0</v>
      </c>
      <c r="F149" s="26">
        <v>0</v>
      </c>
      <c r="G149" s="26">
        <v>7853218.8899999997</v>
      </c>
      <c r="H149">
        <f>_xlfn.XLOOKUP(A149,indice!A:A,indice!C:C)</f>
        <v>14</v>
      </c>
      <c r="I149" t="str">
        <f>_xlfn.XLOOKUP(A149,indice!A:A,indice!D:D)</f>
        <v xml:space="preserve">Investimentos </v>
      </c>
    </row>
    <row r="150" spans="1:9" x14ac:dyDescent="0.25">
      <c r="A150" t="s">
        <v>364</v>
      </c>
      <c r="B150" t="s">
        <v>365</v>
      </c>
      <c r="C150" s="26">
        <v>23530.13</v>
      </c>
      <c r="D150" s="26">
        <v>0</v>
      </c>
      <c r="E150" s="26">
        <v>0</v>
      </c>
      <c r="F150" s="26">
        <v>0</v>
      </c>
      <c r="G150" s="26">
        <v>23530.13</v>
      </c>
      <c r="H150" t="str">
        <f>_xlfn.XLOOKUP(A150,indice!A:A,indice!C:C)</f>
        <v>S</v>
      </c>
      <c r="I150" t="str">
        <f>_xlfn.XLOOKUP(A150,indice!A:A,indice!D:D)</f>
        <v>SINTETICA</v>
      </c>
    </row>
    <row r="151" spans="1:9" x14ac:dyDescent="0.25">
      <c r="A151" t="s">
        <v>366</v>
      </c>
      <c r="B151" t="s">
        <v>331</v>
      </c>
      <c r="C151" s="26">
        <v>8029.88</v>
      </c>
      <c r="D151" s="26">
        <v>0</v>
      </c>
      <c r="E151" s="26">
        <v>0</v>
      </c>
      <c r="F151" s="26">
        <v>0</v>
      </c>
      <c r="G151" s="26">
        <v>8029.88</v>
      </c>
      <c r="H151">
        <f>_xlfn.XLOOKUP(A151,indice!A:A,indice!C:C)</f>
        <v>14</v>
      </c>
      <c r="I151" t="str">
        <f>_xlfn.XLOOKUP(A151,indice!A:A,indice!D:D)</f>
        <v xml:space="preserve">Investimentos </v>
      </c>
    </row>
    <row r="152" spans="1:9" x14ac:dyDescent="0.25">
      <c r="A152" t="s">
        <v>367</v>
      </c>
      <c r="B152" t="s">
        <v>333</v>
      </c>
      <c r="C152" s="26">
        <v>28.54</v>
      </c>
      <c r="D152" s="26">
        <v>0</v>
      </c>
      <c r="E152" s="26">
        <v>0</v>
      </c>
      <c r="F152" s="26">
        <v>0</v>
      </c>
      <c r="G152" s="26">
        <v>28.54</v>
      </c>
      <c r="H152">
        <f>_xlfn.XLOOKUP(A152,indice!A:A,indice!C:C)</f>
        <v>14</v>
      </c>
      <c r="I152" t="str">
        <f>_xlfn.XLOOKUP(A152,indice!A:A,indice!D:D)</f>
        <v xml:space="preserve">Investimentos </v>
      </c>
    </row>
    <row r="153" spans="1:9" x14ac:dyDescent="0.25">
      <c r="A153" t="s">
        <v>368</v>
      </c>
      <c r="B153" t="s">
        <v>335</v>
      </c>
      <c r="C153" s="26">
        <v>1211.69</v>
      </c>
      <c r="D153" s="26">
        <v>0</v>
      </c>
      <c r="E153" s="26">
        <v>0</v>
      </c>
      <c r="F153" s="26">
        <v>0</v>
      </c>
      <c r="G153" s="26">
        <v>1211.69</v>
      </c>
      <c r="H153">
        <f>_xlfn.XLOOKUP(A153,indice!A:A,indice!C:C)</f>
        <v>14</v>
      </c>
      <c r="I153" t="str">
        <f>_xlfn.XLOOKUP(A153,indice!A:A,indice!D:D)</f>
        <v xml:space="preserve">Investimentos </v>
      </c>
    </row>
    <row r="154" spans="1:9" x14ac:dyDescent="0.25">
      <c r="A154" t="s">
        <v>369</v>
      </c>
      <c r="B154" t="s">
        <v>337</v>
      </c>
      <c r="C154" s="26">
        <v>1177.1400000000001</v>
      </c>
      <c r="D154" s="26">
        <v>0</v>
      </c>
      <c r="E154" s="26">
        <v>0</v>
      </c>
      <c r="F154" s="26">
        <v>0</v>
      </c>
      <c r="G154" s="26">
        <v>1177.1400000000001</v>
      </c>
      <c r="H154">
        <f>_xlfn.XLOOKUP(A154,indice!A:A,indice!C:C)</f>
        <v>14</v>
      </c>
      <c r="I154" t="str">
        <f>_xlfn.XLOOKUP(A154,indice!A:A,indice!D:D)</f>
        <v xml:space="preserve">Investimentos </v>
      </c>
    </row>
    <row r="155" spans="1:9" x14ac:dyDescent="0.25">
      <c r="A155" t="s">
        <v>370</v>
      </c>
      <c r="B155" t="s">
        <v>339</v>
      </c>
      <c r="C155" s="26">
        <v>610.95000000000005</v>
      </c>
      <c r="D155" s="26">
        <v>0</v>
      </c>
      <c r="E155" s="26">
        <v>0</v>
      </c>
      <c r="F155" s="26">
        <v>0</v>
      </c>
      <c r="G155" s="26">
        <v>610.95000000000005</v>
      </c>
      <c r="H155">
        <f>_xlfn.XLOOKUP(A155,indice!A:A,indice!C:C)</f>
        <v>14</v>
      </c>
      <c r="I155" t="str">
        <f>_xlfn.XLOOKUP(A155,indice!A:A,indice!D:D)</f>
        <v xml:space="preserve">Investimentos </v>
      </c>
    </row>
    <row r="156" spans="1:9" x14ac:dyDescent="0.25">
      <c r="A156" t="s">
        <v>371</v>
      </c>
      <c r="B156" t="s">
        <v>341</v>
      </c>
      <c r="C156" s="26">
        <v>116.45</v>
      </c>
      <c r="D156" s="26">
        <v>0</v>
      </c>
      <c r="E156" s="26">
        <v>0</v>
      </c>
      <c r="F156" s="26">
        <v>0</v>
      </c>
      <c r="G156" s="26">
        <v>116.45</v>
      </c>
      <c r="H156">
        <f>_xlfn.XLOOKUP(A156,indice!A:A,indice!C:C)</f>
        <v>14</v>
      </c>
      <c r="I156" t="str">
        <f>_xlfn.XLOOKUP(A156,indice!A:A,indice!D:D)</f>
        <v xml:space="preserve">Investimentos </v>
      </c>
    </row>
    <row r="157" spans="1:9" x14ac:dyDescent="0.25">
      <c r="A157" t="s">
        <v>372</v>
      </c>
      <c r="B157" t="s">
        <v>343</v>
      </c>
      <c r="C157" s="26">
        <v>138.44</v>
      </c>
      <c r="D157" s="26">
        <v>0</v>
      </c>
      <c r="E157" s="26">
        <v>0</v>
      </c>
      <c r="F157" s="26">
        <v>0</v>
      </c>
      <c r="G157" s="26">
        <v>138.44</v>
      </c>
      <c r="H157">
        <f>_xlfn.XLOOKUP(A157,indice!A:A,indice!C:C)</f>
        <v>14</v>
      </c>
      <c r="I157" t="str">
        <f>_xlfn.XLOOKUP(A157,indice!A:A,indice!D:D)</f>
        <v xml:space="preserve">Investimentos </v>
      </c>
    </row>
    <row r="158" spans="1:9" x14ac:dyDescent="0.25">
      <c r="A158" t="s">
        <v>373</v>
      </c>
      <c r="B158" t="s">
        <v>345</v>
      </c>
      <c r="C158" s="26">
        <v>506.83</v>
      </c>
      <c r="D158" s="26">
        <v>0</v>
      </c>
      <c r="E158" s="26">
        <v>0</v>
      </c>
      <c r="F158" s="26">
        <v>0</v>
      </c>
      <c r="G158" s="26">
        <v>506.83</v>
      </c>
      <c r="H158">
        <f>_xlfn.XLOOKUP(A158,indice!A:A,indice!C:C)</f>
        <v>14</v>
      </c>
      <c r="I158" t="str">
        <f>_xlfn.XLOOKUP(A158,indice!A:A,indice!D:D)</f>
        <v xml:space="preserve">Investimentos </v>
      </c>
    </row>
    <row r="159" spans="1:9" x14ac:dyDescent="0.25">
      <c r="A159" t="s">
        <v>374</v>
      </c>
      <c r="B159" t="s">
        <v>347</v>
      </c>
      <c r="C159" s="26">
        <v>20.8</v>
      </c>
      <c r="D159" s="26">
        <v>0</v>
      </c>
      <c r="E159" s="26">
        <v>0</v>
      </c>
      <c r="F159" s="26">
        <v>0</v>
      </c>
      <c r="G159" s="26">
        <v>20.8</v>
      </c>
      <c r="H159">
        <f>_xlfn.XLOOKUP(A159,indice!A:A,indice!C:C)</f>
        <v>14</v>
      </c>
      <c r="I159" t="str">
        <f>_xlfn.XLOOKUP(A159,indice!A:A,indice!D:D)</f>
        <v xml:space="preserve">Investimentos </v>
      </c>
    </row>
    <row r="160" spans="1:9" x14ac:dyDescent="0.25">
      <c r="A160" t="s">
        <v>375</v>
      </c>
      <c r="B160" t="s">
        <v>349</v>
      </c>
      <c r="C160" s="26">
        <v>531.12</v>
      </c>
      <c r="D160" s="26">
        <v>0</v>
      </c>
      <c r="E160" s="26">
        <v>0</v>
      </c>
      <c r="F160" s="26">
        <v>0</v>
      </c>
      <c r="G160" s="26">
        <v>531.12</v>
      </c>
      <c r="H160">
        <f>_xlfn.XLOOKUP(A160,indice!A:A,indice!C:C)</f>
        <v>14</v>
      </c>
      <c r="I160" t="str">
        <f>_xlfn.XLOOKUP(A160,indice!A:A,indice!D:D)</f>
        <v xml:space="preserve">Investimentos </v>
      </c>
    </row>
    <row r="161" spans="1:9" x14ac:dyDescent="0.25">
      <c r="A161" t="s">
        <v>376</v>
      </c>
      <c r="B161" t="s">
        <v>351</v>
      </c>
      <c r="C161" s="26">
        <v>3305.9</v>
      </c>
      <c r="D161" s="26">
        <v>0</v>
      </c>
      <c r="E161" s="26">
        <v>0</v>
      </c>
      <c r="F161" s="26">
        <v>0</v>
      </c>
      <c r="G161" s="26">
        <v>3305.9</v>
      </c>
      <c r="H161">
        <f>_xlfn.XLOOKUP(A161,indice!A:A,indice!C:C)</f>
        <v>14</v>
      </c>
      <c r="I161" t="str">
        <f>_xlfn.XLOOKUP(A161,indice!A:A,indice!D:D)</f>
        <v xml:space="preserve">Investimentos </v>
      </c>
    </row>
    <row r="162" spans="1:9" x14ac:dyDescent="0.25">
      <c r="A162" t="s">
        <v>377</v>
      </c>
      <c r="B162" t="s">
        <v>353</v>
      </c>
      <c r="C162" s="26">
        <v>1357.27</v>
      </c>
      <c r="D162" s="26">
        <v>0</v>
      </c>
      <c r="E162" s="26">
        <v>0</v>
      </c>
      <c r="F162" s="26">
        <v>0</v>
      </c>
      <c r="G162" s="26">
        <v>1357.27</v>
      </c>
      <c r="H162">
        <f>_xlfn.XLOOKUP(A162,indice!A:A,indice!C:C)</f>
        <v>14</v>
      </c>
      <c r="I162" t="str">
        <f>_xlfn.XLOOKUP(A162,indice!A:A,indice!D:D)</f>
        <v xml:space="preserve">Investimentos </v>
      </c>
    </row>
    <row r="163" spans="1:9" x14ac:dyDescent="0.25">
      <c r="A163" t="s">
        <v>378</v>
      </c>
      <c r="B163" t="s">
        <v>355</v>
      </c>
      <c r="C163" s="26">
        <v>3283.22</v>
      </c>
      <c r="D163" s="26">
        <v>0</v>
      </c>
      <c r="E163" s="26">
        <v>0</v>
      </c>
      <c r="F163" s="26">
        <v>0</v>
      </c>
      <c r="G163" s="26">
        <v>3283.22</v>
      </c>
      <c r="H163">
        <f>_xlfn.XLOOKUP(A163,indice!A:A,indice!C:C)</f>
        <v>14</v>
      </c>
      <c r="I163" t="str">
        <f>_xlfn.XLOOKUP(A163,indice!A:A,indice!D:D)</f>
        <v xml:space="preserve">Investimentos </v>
      </c>
    </row>
    <row r="164" spans="1:9" x14ac:dyDescent="0.25">
      <c r="A164" t="s">
        <v>379</v>
      </c>
      <c r="B164" t="s">
        <v>357</v>
      </c>
      <c r="C164" s="26">
        <v>3211.9</v>
      </c>
      <c r="D164" s="26">
        <v>0</v>
      </c>
      <c r="E164" s="26">
        <v>0</v>
      </c>
      <c r="F164" s="26">
        <v>0</v>
      </c>
      <c r="G164" s="26">
        <v>3211.9</v>
      </c>
      <c r="H164">
        <f>_xlfn.XLOOKUP(A164,indice!A:A,indice!C:C)</f>
        <v>14</v>
      </c>
      <c r="I164" t="str">
        <f>_xlfn.XLOOKUP(A164,indice!A:A,indice!D:D)</f>
        <v xml:space="preserve">Investimentos </v>
      </c>
    </row>
    <row r="165" spans="1:9" x14ac:dyDescent="0.25">
      <c r="A165" t="s">
        <v>380</v>
      </c>
      <c r="B165" t="s">
        <v>381</v>
      </c>
      <c r="C165" s="26">
        <v>178523930.91</v>
      </c>
      <c r="D165" s="26">
        <v>701339.68</v>
      </c>
      <c r="E165" s="26">
        <v>1294599.05</v>
      </c>
      <c r="F165" s="26">
        <v>-593259.37</v>
      </c>
      <c r="G165" s="26">
        <v>177930671.53999999</v>
      </c>
      <c r="H165" t="str">
        <f>_xlfn.XLOOKUP(A165,indice!A:A,indice!C:C)</f>
        <v>S</v>
      </c>
      <c r="I165" t="str">
        <f>_xlfn.XLOOKUP(A165,indice!A:A,indice!D:D)</f>
        <v>SINTETICA</v>
      </c>
    </row>
    <row r="166" spans="1:9" x14ac:dyDescent="0.25">
      <c r="A166" t="s">
        <v>382</v>
      </c>
      <c r="B166" t="s">
        <v>383</v>
      </c>
      <c r="C166" s="26">
        <v>43106053.75</v>
      </c>
      <c r="D166" s="26">
        <v>0</v>
      </c>
      <c r="E166" s="26">
        <v>0</v>
      </c>
      <c r="F166" s="26">
        <v>0</v>
      </c>
      <c r="G166" s="26">
        <v>43106053.75</v>
      </c>
      <c r="H166" t="str">
        <f>_xlfn.XLOOKUP(A166,indice!A:A,indice!C:C)</f>
        <v>S</v>
      </c>
      <c r="I166" t="str">
        <f>_xlfn.XLOOKUP(A166,indice!A:A,indice!D:D)</f>
        <v>SINTETICA</v>
      </c>
    </row>
    <row r="167" spans="1:9" x14ac:dyDescent="0.25">
      <c r="A167" t="s">
        <v>384</v>
      </c>
      <c r="B167" t="s">
        <v>385</v>
      </c>
      <c r="C167" s="26">
        <v>28029162.989999998</v>
      </c>
      <c r="D167" s="26">
        <v>0</v>
      </c>
      <c r="E167" s="26">
        <v>0</v>
      </c>
      <c r="F167" s="26">
        <v>0</v>
      </c>
      <c r="G167" s="26">
        <v>28029162.989999998</v>
      </c>
      <c r="H167">
        <f>_xlfn.XLOOKUP(A167,indice!A:A,indice!C:C)</f>
        <v>15</v>
      </c>
      <c r="I167" t="str">
        <f>_xlfn.XLOOKUP(A167,indice!A:A,indice!D:D)</f>
        <v xml:space="preserve">Imobilizado </v>
      </c>
    </row>
    <row r="168" spans="1:9" x14ac:dyDescent="0.25">
      <c r="A168" t="s">
        <v>386</v>
      </c>
      <c r="B168" t="s">
        <v>387</v>
      </c>
      <c r="C168" s="26">
        <v>6765048.0499999998</v>
      </c>
      <c r="D168" s="26">
        <v>0</v>
      </c>
      <c r="E168" s="26">
        <v>0</v>
      </c>
      <c r="F168" s="26">
        <v>0</v>
      </c>
      <c r="G168" s="26">
        <v>6765048.0499999998</v>
      </c>
      <c r="H168">
        <f>_xlfn.XLOOKUP(A168,indice!A:A,indice!C:C)</f>
        <v>15</v>
      </c>
      <c r="I168" t="str">
        <f>_xlfn.XLOOKUP(A168,indice!A:A,indice!D:D)</f>
        <v xml:space="preserve">Imobilizado </v>
      </c>
    </row>
    <row r="169" spans="1:9" x14ac:dyDescent="0.25">
      <c r="A169" t="s">
        <v>388</v>
      </c>
      <c r="B169" t="s">
        <v>389</v>
      </c>
      <c r="C169" s="26">
        <v>8311842.71</v>
      </c>
      <c r="D169" s="26">
        <v>0</v>
      </c>
      <c r="E169" s="26">
        <v>0</v>
      </c>
      <c r="F169" s="26">
        <v>0</v>
      </c>
      <c r="G169" s="26">
        <v>8311842.71</v>
      </c>
      <c r="H169">
        <f>_xlfn.XLOOKUP(A169,indice!A:A,indice!C:C)</f>
        <v>15</v>
      </c>
      <c r="I169" t="str">
        <f>_xlfn.XLOOKUP(A169,indice!A:A,indice!D:D)</f>
        <v xml:space="preserve">Imobilizado </v>
      </c>
    </row>
    <row r="170" spans="1:9" x14ac:dyDescent="0.25">
      <c r="A170" t="s">
        <v>390</v>
      </c>
      <c r="B170" t="s">
        <v>391</v>
      </c>
      <c r="C170" s="26">
        <v>99574534.890000001</v>
      </c>
      <c r="D170" s="26">
        <v>0</v>
      </c>
      <c r="E170" s="26">
        <v>0</v>
      </c>
      <c r="F170" s="26">
        <v>0</v>
      </c>
      <c r="G170" s="26">
        <v>99574534.890000001</v>
      </c>
      <c r="H170" t="str">
        <f>_xlfn.XLOOKUP(A170,indice!A:A,indice!C:C)</f>
        <v>S</v>
      </c>
      <c r="I170" t="str">
        <f>_xlfn.XLOOKUP(A170,indice!A:A,indice!D:D)</f>
        <v>SINTETICA</v>
      </c>
    </row>
    <row r="171" spans="1:9" x14ac:dyDescent="0.25">
      <c r="A171" t="s">
        <v>392</v>
      </c>
      <c r="B171" t="s">
        <v>393</v>
      </c>
      <c r="C171" s="26">
        <v>40522613.18</v>
      </c>
      <c r="D171" s="26">
        <v>0</v>
      </c>
      <c r="E171" s="26">
        <v>0</v>
      </c>
      <c r="F171" s="26">
        <v>0</v>
      </c>
      <c r="G171" s="26">
        <v>40522613.18</v>
      </c>
      <c r="H171">
        <f>_xlfn.XLOOKUP(A171,indice!A:A,indice!C:C)</f>
        <v>15</v>
      </c>
      <c r="I171" t="str">
        <f>_xlfn.XLOOKUP(A171,indice!A:A,indice!D:D)</f>
        <v xml:space="preserve">Imobilizado </v>
      </c>
    </row>
    <row r="172" spans="1:9" x14ac:dyDescent="0.25">
      <c r="A172" t="s">
        <v>394</v>
      </c>
      <c r="B172" t="s">
        <v>395</v>
      </c>
      <c r="C172" s="26">
        <v>41111279.899999999</v>
      </c>
      <c r="D172" s="26">
        <v>0</v>
      </c>
      <c r="E172" s="26">
        <v>0</v>
      </c>
      <c r="F172" s="26">
        <v>0</v>
      </c>
      <c r="G172" s="26">
        <v>41111279.899999999</v>
      </c>
      <c r="H172">
        <f>_xlfn.XLOOKUP(A172,indice!A:A,indice!C:C)</f>
        <v>15</v>
      </c>
      <c r="I172" t="str">
        <f>_xlfn.XLOOKUP(A172,indice!A:A,indice!D:D)</f>
        <v xml:space="preserve">Imobilizado </v>
      </c>
    </row>
    <row r="173" spans="1:9" x14ac:dyDescent="0.25">
      <c r="A173" t="s">
        <v>396</v>
      </c>
      <c r="B173" t="s">
        <v>397</v>
      </c>
      <c r="C173" s="26">
        <v>897383.24</v>
      </c>
      <c r="D173" s="26">
        <v>0</v>
      </c>
      <c r="E173" s="26">
        <v>0</v>
      </c>
      <c r="F173" s="26">
        <v>0</v>
      </c>
      <c r="G173" s="26">
        <v>897383.24</v>
      </c>
      <c r="H173">
        <f>_xlfn.XLOOKUP(A173,indice!A:A,indice!C:C)</f>
        <v>15</v>
      </c>
      <c r="I173" t="str">
        <f>_xlfn.XLOOKUP(A173,indice!A:A,indice!D:D)</f>
        <v xml:space="preserve">Imobilizado </v>
      </c>
    </row>
    <row r="174" spans="1:9" x14ac:dyDescent="0.25">
      <c r="A174" t="s">
        <v>398</v>
      </c>
      <c r="B174" t="s">
        <v>399</v>
      </c>
      <c r="C174" s="26">
        <v>17043258.57</v>
      </c>
      <c r="D174" s="26">
        <v>0</v>
      </c>
      <c r="E174" s="26">
        <v>0</v>
      </c>
      <c r="F174" s="26">
        <v>0</v>
      </c>
      <c r="G174" s="26">
        <v>17043258.57</v>
      </c>
      <c r="H174">
        <f>_xlfn.XLOOKUP(A174,indice!A:A,indice!C:C)</f>
        <v>15</v>
      </c>
      <c r="I174" t="str">
        <f>_xlfn.XLOOKUP(A174,indice!A:A,indice!D:D)</f>
        <v xml:space="preserve">Imobilizado </v>
      </c>
    </row>
    <row r="175" spans="1:9" x14ac:dyDescent="0.25">
      <c r="A175" t="s">
        <v>400</v>
      </c>
      <c r="B175" t="s">
        <v>401</v>
      </c>
      <c r="C175" s="26">
        <v>3238149.79</v>
      </c>
      <c r="D175" s="26">
        <v>0</v>
      </c>
      <c r="E175" s="26">
        <v>0</v>
      </c>
      <c r="F175" s="26">
        <v>0</v>
      </c>
      <c r="G175" s="26">
        <v>3238149.79</v>
      </c>
      <c r="H175" t="str">
        <f>_xlfn.XLOOKUP(A175,indice!A:A,indice!C:C)</f>
        <v>S</v>
      </c>
      <c r="I175" t="str">
        <f>_xlfn.XLOOKUP(A175,indice!A:A,indice!D:D)</f>
        <v>SINTETICA</v>
      </c>
    </row>
    <row r="176" spans="1:9" x14ac:dyDescent="0.25">
      <c r="A176" t="s">
        <v>402</v>
      </c>
      <c r="B176" t="s">
        <v>403</v>
      </c>
      <c r="C176" s="26">
        <v>3238149.79</v>
      </c>
      <c r="D176" s="26">
        <v>0</v>
      </c>
      <c r="E176" s="26">
        <v>0</v>
      </c>
      <c r="F176" s="26">
        <v>0</v>
      </c>
      <c r="G176" s="26">
        <v>3238149.79</v>
      </c>
      <c r="H176">
        <f>_xlfn.XLOOKUP(A176,indice!A:A,indice!C:C)</f>
        <v>15</v>
      </c>
      <c r="I176" t="str">
        <f>_xlfn.XLOOKUP(A176,indice!A:A,indice!D:D)</f>
        <v xml:space="preserve">Imobilizado </v>
      </c>
    </row>
    <row r="177" spans="1:9" x14ac:dyDescent="0.25">
      <c r="A177" t="s">
        <v>404</v>
      </c>
      <c r="B177" t="s">
        <v>405</v>
      </c>
      <c r="C177" s="26">
        <v>23447841.32</v>
      </c>
      <c r="D177" s="26">
        <v>0</v>
      </c>
      <c r="E177" s="26">
        <v>0</v>
      </c>
      <c r="F177" s="26">
        <v>0</v>
      </c>
      <c r="G177" s="26">
        <v>23447841.32</v>
      </c>
      <c r="H177" t="str">
        <f>_xlfn.XLOOKUP(A177,indice!A:A,indice!C:C)</f>
        <v>S</v>
      </c>
      <c r="I177" t="str">
        <f>_xlfn.XLOOKUP(A177,indice!A:A,indice!D:D)</f>
        <v>SINTETICA</v>
      </c>
    </row>
    <row r="178" spans="1:9" x14ac:dyDescent="0.25">
      <c r="A178" t="s">
        <v>406</v>
      </c>
      <c r="B178" t="s">
        <v>407</v>
      </c>
      <c r="C178" s="26">
        <v>23447841.32</v>
      </c>
      <c r="D178" s="26">
        <v>0</v>
      </c>
      <c r="E178" s="26">
        <v>0</v>
      </c>
      <c r="F178" s="26">
        <v>0</v>
      </c>
      <c r="G178" s="26">
        <v>23447841.32</v>
      </c>
      <c r="H178">
        <f>_xlfn.XLOOKUP(A178,indice!A:A,indice!C:C)</f>
        <v>15</v>
      </c>
      <c r="I178" t="str">
        <f>_xlfn.XLOOKUP(A178,indice!A:A,indice!D:D)</f>
        <v xml:space="preserve">Imobilizado </v>
      </c>
    </row>
    <row r="179" spans="1:9" x14ac:dyDescent="0.25">
      <c r="A179" t="s">
        <v>408</v>
      </c>
      <c r="B179" t="s">
        <v>409</v>
      </c>
      <c r="C179" s="26">
        <v>3314799.22</v>
      </c>
      <c r="D179" s="26">
        <v>958</v>
      </c>
      <c r="E179" s="26">
        <v>0</v>
      </c>
      <c r="F179" s="26">
        <v>958</v>
      </c>
      <c r="G179" s="26">
        <v>3315757.22</v>
      </c>
      <c r="H179" t="str">
        <f>_xlfn.XLOOKUP(A179,indice!A:A,indice!C:C)</f>
        <v>S</v>
      </c>
      <c r="I179" t="str">
        <f>_xlfn.XLOOKUP(A179,indice!A:A,indice!D:D)</f>
        <v>SINTETICA</v>
      </c>
    </row>
    <row r="180" spans="1:9" x14ac:dyDescent="0.25">
      <c r="A180" t="s">
        <v>410</v>
      </c>
      <c r="B180" t="s">
        <v>411</v>
      </c>
      <c r="C180" s="26">
        <v>727946.68</v>
      </c>
      <c r="D180" s="26">
        <v>0</v>
      </c>
      <c r="E180" s="26">
        <v>0</v>
      </c>
      <c r="F180" s="26">
        <v>0</v>
      </c>
      <c r="G180" s="26">
        <v>727946.68</v>
      </c>
      <c r="H180">
        <f>_xlfn.XLOOKUP(A180,indice!A:A,indice!C:C)</f>
        <v>15</v>
      </c>
      <c r="I180" t="str">
        <f>_xlfn.XLOOKUP(A180,indice!A:A,indice!D:D)</f>
        <v xml:space="preserve">Imobilizado </v>
      </c>
    </row>
    <row r="181" spans="1:9" x14ac:dyDescent="0.25">
      <c r="A181" t="s">
        <v>412</v>
      </c>
      <c r="B181" t="s">
        <v>413</v>
      </c>
      <c r="C181" s="26">
        <v>1374614.13</v>
      </c>
      <c r="D181" s="26">
        <v>958</v>
      </c>
      <c r="E181" s="26">
        <v>0</v>
      </c>
      <c r="F181" s="26">
        <v>958</v>
      </c>
      <c r="G181" s="26">
        <v>1375572.13</v>
      </c>
      <c r="H181">
        <f>_xlfn.XLOOKUP(A181,indice!A:A,indice!C:C)</f>
        <v>15</v>
      </c>
      <c r="I181" t="str">
        <f>_xlfn.XLOOKUP(A181,indice!A:A,indice!D:D)</f>
        <v xml:space="preserve">Imobilizado </v>
      </c>
    </row>
    <row r="182" spans="1:9" x14ac:dyDescent="0.25">
      <c r="A182" t="s">
        <v>414</v>
      </c>
      <c r="B182" t="s">
        <v>415</v>
      </c>
      <c r="C182" s="26">
        <v>1166937.6100000001</v>
      </c>
      <c r="D182" s="26">
        <v>0</v>
      </c>
      <c r="E182" s="26">
        <v>0</v>
      </c>
      <c r="F182" s="26">
        <v>0</v>
      </c>
      <c r="G182" s="26">
        <v>1166937.6100000001</v>
      </c>
      <c r="H182">
        <f>_xlfn.XLOOKUP(A182,indice!A:A,indice!C:C)</f>
        <v>15</v>
      </c>
      <c r="I182" t="str">
        <f>_xlfn.XLOOKUP(A182,indice!A:A,indice!D:D)</f>
        <v xml:space="preserve">Imobilizado </v>
      </c>
    </row>
    <row r="183" spans="1:9" x14ac:dyDescent="0.25">
      <c r="A183" t="s">
        <v>416</v>
      </c>
      <c r="B183" t="s">
        <v>417</v>
      </c>
      <c r="C183" s="26">
        <v>45300.800000000003</v>
      </c>
      <c r="D183" s="26">
        <v>0</v>
      </c>
      <c r="E183" s="26">
        <v>0</v>
      </c>
      <c r="F183" s="26">
        <v>0</v>
      </c>
      <c r="G183" s="26">
        <v>45300.800000000003</v>
      </c>
      <c r="H183">
        <f>_xlfn.XLOOKUP(A183,indice!A:A,indice!C:C)</f>
        <v>15</v>
      </c>
      <c r="I183" t="str">
        <f>_xlfn.XLOOKUP(A183,indice!A:A,indice!D:D)</f>
        <v xml:space="preserve">Imobilizado </v>
      </c>
    </row>
    <row r="184" spans="1:9" x14ac:dyDescent="0.25">
      <c r="A184" t="s">
        <v>418</v>
      </c>
      <c r="B184" t="s">
        <v>419</v>
      </c>
      <c r="C184" s="26">
        <v>12405674.48</v>
      </c>
      <c r="D184" s="26">
        <v>11296.17</v>
      </c>
      <c r="E184" s="26">
        <v>0</v>
      </c>
      <c r="F184" s="26">
        <v>11296.17</v>
      </c>
      <c r="G184" s="26">
        <v>12416970.65</v>
      </c>
      <c r="H184" t="str">
        <f>_xlfn.XLOOKUP(A184,indice!A:A,indice!C:C)</f>
        <v>S</v>
      </c>
      <c r="I184" t="str">
        <f>_xlfn.XLOOKUP(A184,indice!A:A,indice!D:D)</f>
        <v>SINTETICA</v>
      </c>
    </row>
    <row r="185" spans="1:9" x14ac:dyDescent="0.25">
      <c r="A185" t="s">
        <v>420</v>
      </c>
      <c r="B185" t="s">
        <v>421</v>
      </c>
      <c r="C185" s="26">
        <v>10530584.699999999</v>
      </c>
      <c r="D185" s="26">
        <v>74.900000000000006</v>
      </c>
      <c r="E185" s="26">
        <v>0</v>
      </c>
      <c r="F185" s="26">
        <v>74.900000000000006</v>
      </c>
      <c r="G185" s="26">
        <v>10530659.6</v>
      </c>
      <c r="H185">
        <f>_xlfn.XLOOKUP(A185,indice!A:A,indice!C:C)</f>
        <v>15</v>
      </c>
      <c r="I185" t="str">
        <f>_xlfn.XLOOKUP(A185,indice!A:A,indice!D:D)</f>
        <v xml:space="preserve">Imobilizado </v>
      </c>
    </row>
    <row r="186" spans="1:9" x14ac:dyDescent="0.25">
      <c r="A186" t="s">
        <v>422</v>
      </c>
      <c r="B186" t="s">
        <v>423</v>
      </c>
      <c r="C186" s="26">
        <v>539397.22</v>
      </c>
      <c r="D186" s="26">
        <v>11221.27</v>
      </c>
      <c r="E186" s="26">
        <v>0</v>
      </c>
      <c r="F186" s="26">
        <v>11221.27</v>
      </c>
      <c r="G186" s="26">
        <v>550618.49</v>
      </c>
      <c r="H186">
        <f>_xlfn.XLOOKUP(A186,indice!A:A,indice!C:C)</f>
        <v>15</v>
      </c>
      <c r="I186" t="str">
        <f>_xlfn.XLOOKUP(A186,indice!A:A,indice!D:D)</f>
        <v xml:space="preserve">Imobilizado </v>
      </c>
    </row>
    <row r="187" spans="1:9" x14ac:dyDescent="0.25">
      <c r="A187" t="s">
        <v>424</v>
      </c>
      <c r="B187" t="s">
        <v>425</v>
      </c>
      <c r="C187" s="26">
        <v>1335692.56</v>
      </c>
      <c r="D187" s="26">
        <v>0</v>
      </c>
      <c r="E187" s="26">
        <v>0</v>
      </c>
      <c r="F187" s="26">
        <v>0</v>
      </c>
      <c r="G187" s="26">
        <v>1335692.56</v>
      </c>
      <c r="H187">
        <f>_xlfn.XLOOKUP(A187,indice!A:A,indice!C:C)</f>
        <v>15</v>
      </c>
      <c r="I187" t="str">
        <f>_xlfn.XLOOKUP(A187,indice!A:A,indice!D:D)</f>
        <v xml:space="preserve">Imobilizado </v>
      </c>
    </row>
    <row r="188" spans="1:9" x14ac:dyDescent="0.25">
      <c r="A188" t="s">
        <v>426</v>
      </c>
      <c r="B188" t="s">
        <v>427</v>
      </c>
      <c r="C188" s="26">
        <v>110938324.88</v>
      </c>
      <c r="D188" s="26">
        <v>689085.51</v>
      </c>
      <c r="E188" s="26">
        <v>0</v>
      </c>
      <c r="F188" s="26">
        <v>689085.51</v>
      </c>
      <c r="G188" s="26">
        <v>111627410.39</v>
      </c>
      <c r="H188" t="str">
        <f>_xlfn.XLOOKUP(A188,indice!A:A,indice!C:C)</f>
        <v>S</v>
      </c>
      <c r="I188" t="str">
        <f>_xlfn.XLOOKUP(A188,indice!A:A,indice!D:D)</f>
        <v>SINTETICA</v>
      </c>
    </row>
    <row r="189" spans="1:9" x14ac:dyDescent="0.25">
      <c r="A189" t="s">
        <v>432</v>
      </c>
      <c r="B189" t="s">
        <v>433</v>
      </c>
      <c r="C189" s="26">
        <v>12442195.41</v>
      </c>
      <c r="D189" s="26">
        <v>0</v>
      </c>
      <c r="E189" s="26">
        <v>0</v>
      </c>
      <c r="F189" s="26">
        <v>0</v>
      </c>
      <c r="G189" s="26">
        <v>12442195.41</v>
      </c>
      <c r="H189">
        <f>_xlfn.XLOOKUP(A189,indice!A:A,indice!C:C)</f>
        <v>15</v>
      </c>
      <c r="I189" t="str">
        <f>_xlfn.XLOOKUP(A189,indice!A:A,indice!D:D)</f>
        <v xml:space="preserve">Imobilizado </v>
      </c>
    </row>
    <row r="190" spans="1:9" x14ac:dyDescent="0.25">
      <c r="A190" t="s">
        <v>434</v>
      </c>
      <c r="B190" t="s">
        <v>435</v>
      </c>
      <c r="C190" s="26">
        <v>15317938.18</v>
      </c>
      <c r="D190" s="26">
        <v>0</v>
      </c>
      <c r="E190" s="26">
        <v>0</v>
      </c>
      <c r="F190" s="26">
        <v>0</v>
      </c>
      <c r="G190" s="26">
        <v>15317938.18</v>
      </c>
      <c r="H190">
        <f>_xlfn.XLOOKUP(A190,indice!A:A,indice!C:C)</f>
        <v>15</v>
      </c>
      <c r="I190" t="str">
        <f>_xlfn.XLOOKUP(A190,indice!A:A,indice!D:D)</f>
        <v xml:space="preserve">Imobilizado </v>
      </c>
    </row>
    <row r="191" spans="1:9" x14ac:dyDescent="0.25">
      <c r="A191" t="s">
        <v>436</v>
      </c>
      <c r="B191" t="s">
        <v>437</v>
      </c>
      <c r="C191" s="26">
        <v>15869262.460000001</v>
      </c>
      <c r="D191" s="26">
        <v>0</v>
      </c>
      <c r="E191" s="26">
        <v>0</v>
      </c>
      <c r="F191" s="26">
        <v>0</v>
      </c>
      <c r="G191" s="26">
        <v>15869262.460000001</v>
      </c>
      <c r="H191">
        <f>_xlfn.XLOOKUP(A191,indice!A:A,indice!C:C)</f>
        <v>15</v>
      </c>
      <c r="I191" t="str">
        <f>_xlfn.XLOOKUP(A191,indice!A:A,indice!D:D)</f>
        <v xml:space="preserve">Imobilizado </v>
      </c>
    </row>
    <row r="192" spans="1:9" x14ac:dyDescent="0.25">
      <c r="A192" t="s">
        <v>438</v>
      </c>
      <c r="B192" t="s">
        <v>439</v>
      </c>
      <c r="C192" s="26">
        <v>15669642.210000001</v>
      </c>
      <c r="D192" s="26">
        <v>0</v>
      </c>
      <c r="E192" s="26">
        <v>0</v>
      </c>
      <c r="F192" s="26">
        <v>0</v>
      </c>
      <c r="G192" s="26">
        <v>15669642.210000001</v>
      </c>
      <c r="H192">
        <f>_xlfn.XLOOKUP(A192,indice!A:A,indice!C:C)</f>
        <v>15</v>
      </c>
      <c r="I192" t="str">
        <f>_xlfn.XLOOKUP(A192,indice!A:A,indice!D:D)</f>
        <v xml:space="preserve">Imobilizado </v>
      </c>
    </row>
    <row r="193" spans="1:10" x14ac:dyDescent="0.25">
      <c r="A193" t="s">
        <v>440</v>
      </c>
      <c r="B193" t="s">
        <v>441</v>
      </c>
      <c r="C193" s="26">
        <v>27124887.170000002</v>
      </c>
      <c r="D193" s="26">
        <v>0</v>
      </c>
      <c r="E193" s="26">
        <v>0</v>
      </c>
      <c r="F193" s="26">
        <v>0</v>
      </c>
      <c r="G193" s="26">
        <v>27124887.170000002</v>
      </c>
      <c r="H193">
        <f>_xlfn.XLOOKUP(A193,indice!A:A,indice!C:C)</f>
        <v>15</v>
      </c>
      <c r="I193" t="str">
        <f>_xlfn.XLOOKUP(A193,indice!A:A,indice!D:D)</f>
        <v xml:space="preserve">Imobilizado </v>
      </c>
    </row>
    <row r="194" spans="1:10" x14ac:dyDescent="0.25">
      <c r="A194" t="s">
        <v>1104</v>
      </c>
      <c r="B194" t="s">
        <v>1105</v>
      </c>
      <c r="C194" s="26">
        <v>23296449.440000001</v>
      </c>
      <c r="D194" s="26">
        <v>0</v>
      </c>
      <c r="E194" s="26">
        <v>0</v>
      </c>
      <c r="F194" s="26">
        <v>0</v>
      </c>
      <c r="G194" s="26">
        <v>23296449.440000001</v>
      </c>
      <c r="H194">
        <f>_xlfn.XLOOKUP(A194,indice!A:A,indice!C:C)</f>
        <v>15</v>
      </c>
      <c r="I194" t="str">
        <f>_xlfn.XLOOKUP(A194,indice!A:A,indice!D:D)</f>
        <v xml:space="preserve">Imobilizado </v>
      </c>
    </row>
    <row r="195" spans="1:10" x14ac:dyDescent="0.25">
      <c r="A195" t="s">
        <v>1231</v>
      </c>
      <c r="B195" t="s">
        <v>1232</v>
      </c>
      <c r="C195" s="26">
        <v>1217950.01</v>
      </c>
      <c r="D195" s="26">
        <v>689085.51</v>
      </c>
      <c r="E195" s="26">
        <v>0</v>
      </c>
      <c r="F195" s="26">
        <v>689085.51</v>
      </c>
      <c r="G195" s="26">
        <v>1907035.52</v>
      </c>
      <c r="H195">
        <f>_xlfn.XLOOKUP(A195,indice!A:A,indice!C:C)</f>
        <v>15</v>
      </c>
      <c r="I195" t="str">
        <f>_xlfn.XLOOKUP(A195,indice!A:A,indice!D:D)</f>
        <v xml:space="preserve">Imobilizado </v>
      </c>
    </row>
    <row r="196" spans="1:10" x14ac:dyDescent="0.25">
      <c r="A196" t="s">
        <v>442</v>
      </c>
      <c r="B196" t="s">
        <v>443</v>
      </c>
      <c r="C196" s="26">
        <v>-117501447.42</v>
      </c>
      <c r="D196" s="26">
        <v>0</v>
      </c>
      <c r="E196" s="26">
        <v>1294599.05</v>
      </c>
      <c r="F196" s="26">
        <v>-1294599.05</v>
      </c>
      <c r="G196" s="26">
        <v>-118796046.47</v>
      </c>
      <c r="H196" t="str">
        <f>_xlfn.XLOOKUP(A196,indice!A:A,indice!C:C)</f>
        <v>S</v>
      </c>
      <c r="I196" t="str">
        <f>_xlfn.XLOOKUP(A196,indice!A:A,indice!D:D)</f>
        <v>SINTETICA</v>
      </c>
    </row>
    <row r="197" spans="1:10" x14ac:dyDescent="0.25">
      <c r="A197" t="s">
        <v>444</v>
      </c>
      <c r="B197" t="s">
        <v>445</v>
      </c>
      <c r="C197" s="26">
        <v>-73926704.909999996</v>
      </c>
      <c r="D197" s="26">
        <v>0</v>
      </c>
      <c r="E197" s="26">
        <v>1294599.05</v>
      </c>
      <c r="F197" s="26">
        <v>-1294599.05</v>
      </c>
      <c r="G197" s="26">
        <v>-75221303.959999993</v>
      </c>
      <c r="H197">
        <f>_xlfn.XLOOKUP(A197,indice!A:A,indice!C:C)</f>
        <v>15</v>
      </c>
      <c r="I197" t="str">
        <f>_xlfn.XLOOKUP(A197,indice!A:A,indice!D:D)</f>
        <v xml:space="preserve">Imobilizado </v>
      </c>
    </row>
    <row r="198" spans="1:10" x14ac:dyDescent="0.25">
      <c r="A198" t="s">
        <v>450</v>
      </c>
      <c r="B198" t="s">
        <v>451</v>
      </c>
      <c r="C198" s="26">
        <v>-12442195.4</v>
      </c>
      <c r="D198" s="26">
        <v>0</v>
      </c>
      <c r="E198" s="26">
        <v>0</v>
      </c>
      <c r="F198" s="26">
        <v>0</v>
      </c>
      <c r="G198" s="26">
        <v>-12442195.4</v>
      </c>
      <c r="H198">
        <f>_xlfn.XLOOKUP(A198,indice!A:A,indice!C:C)</f>
        <v>15</v>
      </c>
      <c r="I198" t="str">
        <f>_xlfn.XLOOKUP(A198,indice!A:A,indice!D:D)</f>
        <v xml:space="preserve">Imobilizado </v>
      </c>
    </row>
    <row r="199" spans="1:10" x14ac:dyDescent="0.25">
      <c r="A199" t="s">
        <v>452</v>
      </c>
      <c r="B199" t="s">
        <v>453</v>
      </c>
      <c r="C199" s="26">
        <v>-12690113.609999999</v>
      </c>
      <c r="D199" s="26">
        <v>0</v>
      </c>
      <c r="E199" s="26">
        <v>0</v>
      </c>
      <c r="F199" s="26">
        <v>0</v>
      </c>
      <c r="G199" s="26">
        <v>-12690113.609999999</v>
      </c>
      <c r="H199">
        <f>_xlfn.XLOOKUP(A199,indice!A:A,indice!C:C)</f>
        <v>15</v>
      </c>
      <c r="I199" t="str">
        <f>_xlfn.XLOOKUP(A199,indice!A:A,indice!D:D)</f>
        <v xml:space="preserve">Imobilizado </v>
      </c>
    </row>
    <row r="200" spans="1:10" x14ac:dyDescent="0.25">
      <c r="A200" t="s">
        <v>454</v>
      </c>
      <c r="B200" t="s">
        <v>455</v>
      </c>
      <c r="C200" s="26">
        <v>-9695571.1600000001</v>
      </c>
      <c r="D200" s="26">
        <v>0</v>
      </c>
      <c r="E200" s="26">
        <v>0</v>
      </c>
      <c r="F200" s="26">
        <v>0</v>
      </c>
      <c r="G200" s="26">
        <v>-9695571.1600000001</v>
      </c>
      <c r="H200">
        <f>_xlfn.XLOOKUP(A200,indice!A:A,indice!C:C)</f>
        <v>15</v>
      </c>
      <c r="I200" t="str">
        <f>_xlfn.XLOOKUP(A200,indice!A:A,indice!D:D)</f>
        <v xml:space="preserve">Imobilizado </v>
      </c>
    </row>
    <row r="201" spans="1:10" x14ac:dyDescent="0.25">
      <c r="A201" t="s">
        <v>1035</v>
      </c>
      <c r="B201" t="s">
        <v>1042</v>
      </c>
      <c r="C201" s="26">
        <v>-6488393.3300000001</v>
      </c>
      <c r="D201" s="26">
        <v>0</v>
      </c>
      <c r="E201" s="26">
        <v>0</v>
      </c>
      <c r="F201" s="26">
        <v>0</v>
      </c>
      <c r="G201" s="26">
        <v>-6488393.3300000001</v>
      </c>
      <c r="H201">
        <f>_xlfn.XLOOKUP(A201,indice!A:A,indice!C:C)</f>
        <v>15</v>
      </c>
      <c r="I201" t="str">
        <f>_xlfn.XLOOKUP(A201,indice!A:A,indice!D:D)</f>
        <v xml:space="preserve">Imobilizado </v>
      </c>
    </row>
    <row r="202" spans="1:10" x14ac:dyDescent="0.25">
      <c r="A202" t="s">
        <v>1194</v>
      </c>
      <c r="B202" t="s">
        <v>1195</v>
      </c>
      <c r="C202" s="26">
        <v>-5424977.4299999997</v>
      </c>
      <c r="D202" s="26">
        <v>0</v>
      </c>
      <c r="E202" s="26">
        <v>0</v>
      </c>
      <c r="F202" s="26">
        <v>0</v>
      </c>
      <c r="G202" s="26">
        <v>-5424977.4299999997</v>
      </c>
      <c r="H202">
        <f>_xlfn.XLOOKUP(A202,indice!A:A,indice!C:C)</f>
        <v>15</v>
      </c>
      <c r="I202" t="str">
        <f>_xlfn.XLOOKUP(A202,indice!A:A,indice!D:D)</f>
        <v xml:space="preserve">Imobilizado </v>
      </c>
    </row>
    <row r="203" spans="1:10" x14ac:dyDescent="0.25">
      <c r="A203" t="s">
        <v>456</v>
      </c>
      <c r="B203" t="s">
        <v>457</v>
      </c>
      <c r="C203" s="26">
        <v>3166508.42</v>
      </c>
      <c r="D203" s="26">
        <v>0</v>
      </c>
      <c r="E203" s="26">
        <v>0</v>
      </c>
      <c r="F203" s="26">
        <v>0</v>
      </c>
      <c r="G203" s="26">
        <v>3166508.42</v>
      </c>
      <c r="H203">
        <f>_xlfn.XLOOKUP(A203,indice!A:A,indice!C:C)</f>
        <v>15</v>
      </c>
      <c r="I203" t="str">
        <f>_xlfn.XLOOKUP(A203,indice!A:A,indice!D:D)</f>
        <v xml:space="preserve">Imobilizado </v>
      </c>
      <c r="J203" s="26">
        <f>G203</f>
        <v>3166508.42</v>
      </c>
    </row>
    <row r="204" spans="1:10" x14ac:dyDescent="0.25">
      <c r="A204" t="s">
        <v>458</v>
      </c>
      <c r="B204" t="s">
        <v>459</v>
      </c>
      <c r="C204" s="26">
        <v>-325267497.67000002</v>
      </c>
      <c r="D204" s="26">
        <v>35680927.740000002</v>
      </c>
      <c r="E204" s="26">
        <v>32524972.649999999</v>
      </c>
      <c r="F204" s="26">
        <v>3155955.09</v>
      </c>
      <c r="G204" s="26">
        <v>-322111542.57999998</v>
      </c>
      <c r="H204" t="str">
        <f>_xlfn.XLOOKUP(A204,indice!A:A,indice!C:C)</f>
        <v>S</v>
      </c>
      <c r="I204" t="str">
        <f>_xlfn.XLOOKUP(A204,indice!A:A,indice!D:D)</f>
        <v>SINTETICA</v>
      </c>
      <c r="J204" s="26">
        <f>G323</f>
        <v>-66782783.420000002</v>
      </c>
    </row>
    <row r="205" spans="1:10" x14ac:dyDescent="0.25">
      <c r="A205" t="s">
        <v>460</v>
      </c>
      <c r="B205" t="s">
        <v>461</v>
      </c>
      <c r="C205" s="26">
        <v>-165129737.03</v>
      </c>
      <c r="D205" s="26">
        <v>33859057.520000003</v>
      </c>
      <c r="E205" s="26">
        <v>32323054.899999999</v>
      </c>
      <c r="F205" s="26">
        <v>1536002.62</v>
      </c>
      <c r="G205" s="26">
        <v>-163593734.41</v>
      </c>
      <c r="H205" t="str">
        <f>_xlfn.XLOOKUP(A205,indice!A:A,indice!C:C)</f>
        <v>S</v>
      </c>
      <c r="I205" t="str">
        <f>_xlfn.XLOOKUP(A205,indice!A:A,indice!D:D)</f>
        <v>SINTETICA</v>
      </c>
    </row>
    <row r="206" spans="1:10" x14ac:dyDescent="0.25">
      <c r="A206" t="s">
        <v>462</v>
      </c>
      <c r="B206" t="s">
        <v>463</v>
      </c>
      <c r="C206" s="26">
        <v>-43381347.270000003</v>
      </c>
      <c r="D206" s="26">
        <v>18362310.41</v>
      </c>
      <c r="E206" s="26">
        <v>16677134.07</v>
      </c>
      <c r="F206" s="26">
        <v>1685176.34</v>
      </c>
      <c r="G206" s="26">
        <v>-41696170.93</v>
      </c>
      <c r="H206" t="str">
        <f>_xlfn.XLOOKUP(A206,indice!A:A,indice!C:C)</f>
        <v>S</v>
      </c>
      <c r="I206" t="str">
        <f>_xlfn.XLOOKUP(A206,indice!A:A,indice!D:D)</f>
        <v>SINTETICA</v>
      </c>
    </row>
    <row r="207" spans="1:10" x14ac:dyDescent="0.25">
      <c r="A207" t="s">
        <v>464</v>
      </c>
      <c r="B207" t="s">
        <v>465</v>
      </c>
      <c r="C207" s="26">
        <v>-43381347.270000003</v>
      </c>
      <c r="D207" s="26">
        <v>18337310.41</v>
      </c>
      <c r="E207" s="26">
        <v>16652134.07</v>
      </c>
      <c r="F207" s="26">
        <v>1685176.34</v>
      </c>
      <c r="G207" s="26">
        <v>-41696170.93</v>
      </c>
      <c r="H207" t="str">
        <f>_xlfn.XLOOKUP(A207,indice!A:A,indice!C:C)</f>
        <v>S</v>
      </c>
      <c r="I207" t="str">
        <f>_xlfn.XLOOKUP(A207,indice!A:A,indice!D:D)</f>
        <v>SINTETICA</v>
      </c>
    </row>
    <row r="208" spans="1:10" x14ac:dyDescent="0.25">
      <c r="A208" t="s">
        <v>466</v>
      </c>
      <c r="B208" t="s">
        <v>467</v>
      </c>
      <c r="C208" s="26">
        <v>-12616337.92</v>
      </c>
      <c r="D208" s="26">
        <v>13305119.380000001</v>
      </c>
      <c r="E208" s="26">
        <v>10871586.66</v>
      </c>
      <c r="F208" s="26">
        <v>2433532.7200000002</v>
      </c>
      <c r="G208" s="26">
        <v>-10182805.199999999</v>
      </c>
      <c r="H208">
        <f>_xlfn.XLOOKUP(A208,indice!A:A,indice!C:C)</f>
        <v>2</v>
      </c>
      <c r="I208" t="str">
        <f>_xlfn.XLOOKUP(A208,indice!A:A,indice!D:D)</f>
        <v>Fornecedores Diversos</v>
      </c>
    </row>
    <row r="209" spans="1:9" x14ac:dyDescent="0.25">
      <c r="A209" t="s">
        <v>468</v>
      </c>
      <c r="B209" t="s">
        <v>469</v>
      </c>
      <c r="C209" s="26">
        <v>-15930056.58</v>
      </c>
      <c r="D209" s="26">
        <v>783650.85</v>
      </c>
      <c r="E209" s="26">
        <v>2289520.65</v>
      </c>
      <c r="F209" s="26">
        <v>-1505869.8</v>
      </c>
      <c r="G209" s="26">
        <v>-17435926.379999999</v>
      </c>
      <c r="H209">
        <f>_xlfn.XLOOKUP(A209,indice!A:A,indice!C:C)</f>
        <v>2</v>
      </c>
      <c r="I209" t="str">
        <f>_xlfn.XLOOKUP(A209,indice!A:A,indice!D:D)</f>
        <v>Fornecedores Diversos</v>
      </c>
    </row>
    <row r="210" spans="1:9" x14ac:dyDescent="0.25">
      <c r="A210" t="s">
        <v>470</v>
      </c>
      <c r="B210" t="s">
        <v>471</v>
      </c>
      <c r="C210" s="26">
        <v>-202393.26</v>
      </c>
      <c r="D210" s="26">
        <v>363655.8</v>
      </c>
      <c r="E210" s="26">
        <v>257226.02</v>
      </c>
      <c r="F210" s="26">
        <v>106429.78</v>
      </c>
      <c r="G210" s="26">
        <v>-95963.48</v>
      </c>
      <c r="H210">
        <f>_xlfn.XLOOKUP(A210,indice!A:A,indice!C:C)</f>
        <v>2</v>
      </c>
      <c r="I210" t="str">
        <f>_xlfn.XLOOKUP(A210,indice!A:A,indice!D:D)</f>
        <v>Fornecedores Diversos</v>
      </c>
    </row>
    <row r="211" spans="1:9" x14ac:dyDescent="0.25">
      <c r="A211" t="s">
        <v>472</v>
      </c>
      <c r="B211" t="s">
        <v>473</v>
      </c>
      <c r="C211" s="26">
        <v>-12209846.83</v>
      </c>
      <c r="D211" s="26">
        <v>3884884.38</v>
      </c>
      <c r="E211" s="26">
        <v>0</v>
      </c>
      <c r="F211" s="26">
        <v>3884884.38</v>
      </c>
      <c r="G211" s="26">
        <v>-8324962.4500000002</v>
      </c>
      <c r="H211">
        <f>_xlfn.XLOOKUP(A211,indice!A:A,indice!C:C)</f>
        <v>2</v>
      </c>
      <c r="I211" t="str">
        <f>_xlfn.XLOOKUP(A211,indice!A:A,indice!D:D)</f>
        <v>Fornecedores Diversos</v>
      </c>
    </row>
    <row r="212" spans="1:9" x14ac:dyDescent="0.25">
      <c r="A212" t="s">
        <v>474</v>
      </c>
      <c r="B212" t="s">
        <v>475</v>
      </c>
      <c r="C212" s="26">
        <v>-2422712.6800000002</v>
      </c>
      <c r="D212" s="26">
        <v>0</v>
      </c>
      <c r="E212" s="26">
        <v>3233800.74</v>
      </c>
      <c r="F212" s="26">
        <v>-3233800.74</v>
      </c>
      <c r="G212" s="26">
        <v>-5656513.4199999999</v>
      </c>
      <c r="H212">
        <f>_xlfn.XLOOKUP(A212,indice!A:A,indice!C:C)</f>
        <v>2</v>
      </c>
      <c r="I212" t="str">
        <f>_xlfn.XLOOKUP(A212,indice!A:A,indice!D:D)</f>
        <v>Fornecedores Diversos</v>
      </c>
    </row>
    <row r="213" spans="1:9" x14ac:dyDescent="0.25">
      <c r="A213" t="s">
        <v>1027</v>
      </c>
      <c r="B213" t="s">
        <v>1028</v>
      </c>
      <c r="C213" s="26">
        <v>0</v>
      </c>
      <c r="D213" s="26">
        <v>25000</v>
      </c>
      <c r="E213" s="26">
        <v>25000</v>
      </c>
      <c r="F213" s="26">
        <v>0</v>
      </c>
      <c r="G213" s="26">
        <v>0</v>
      </c>
      <c r="H213">
        <f>_xlfn.XLOOKUP(A213,indice!A:A,indice!C:C)</f>
        <v>9</v>
      </c>
      <c r="I213" t="str">
        <f>_xlfn.XLOOKUP(A213,indice!A:A,indice!D:D)</f>
        <v>Credores diversos</v>
      </c>
    </row>
    <row r="214" spans="1:9" x14ac:dyDescent="0.25">
      <c r="A214" t="s">
        <v>1029</v>
      </c>
      <c r="B214" t="s">
        <v>1028</v>
      </c>
      <c r="C214" s="26">
        <v>0</v>
      </c>
      <c r="D214" s="26">
        <v>25000</v>
      </c>
      <c r="E214" s="26">
        <v>25000</v>
      </c>
      <c r="F214" s="26">
        <v>0</v>
      </c>
      <c r="G214" s="26">
        <v>0</v>
      </c>
      <c r="H214">
        <f>_xlfn.XLOOKUP(A214,indice!A:A,indice!C:C)</f>
        <v>9</v>
      </c>
      <c r="I214" t="str">
        <f>_xlfn.XLOOKUP(A214,indice!A:A,indice!D:D)</f>
        <v>Credores diversos</v>
      </c>
    </row>
    <row r="215" spans="1:9" x14ac:dyDescent="0.25">
      <c r="A215" t="s">
        <v>476</v>
      </c>
      <c r="B215" t="s">
        <v>477</v>
      </c>
      <c r="C215" s="26">
        <v>-121114496.5</v>
      </c>
      <c r="D215" s="26">
        <v>15496747.109999999</v>
      </c>
      <c r="E215" s="26">
        <v>15645920.83</v>
      </c>
      <c r="F215" s="26">
        <v>-149173.72</v>
      </c>
      <c r="G215" s="26">
        <v>-121263670.22</v>
      </c>
      <c r="H215" t="str">
        <f>_xlfn.XLOOKUP(A215,indice!A:A,indice!C:C)</f>
        <v>S</v>
      </c>
      <c r="I215" t="str">
        <f>_xlfn.XLOOKUP(A215,indice!A:A,indice!D:D)</f>
        <v>SINTETICA</v>
      </c>
    </row>
    <row r="216" spans="1:9" x14ac:dyDescent="0.25">
      <c r="A216" t="s">
        <v>478</v>
      </c>
      <c r="B216" t="s">
        <v>479</v>
      </c>
      <c r="C216" s="26">
        <v>-12458514.720000001</v>
      </c>
      <c r="D216" s="26">
        <v>1550798.96</v>
      </c>
      <c r="E216" s="26">
        <v>1294006.96</v>
      </c>
      <c r="F216" s="26">
        <v>256792</v>
      </c>
      <c r="G216" s="26">
        <v>-12201722.720000001</v>
      </c>
      <c r="H216" t="str">
        <f>_xlfn.XLOOKUP(A216,indice!A:A,indice!C:C)</f>
        <v>S</v>
      </c>
      <c r="I216" t="str">
        <f>_xlfn.XLOOKUP(A216,indice!A:A,indice!D:D)</f>
        <v>SINTETICA</v>
      </c>
    </row>
    <row r="217" spans="1:9" x14ac:dyDescent="0.25">
      <c r="A217" t="s">
        <v>480</v>
      </c>
      <c r="B217" t="s">
        <v>481</v>
      </c>
      <c r="C217" s="26">
        <v>-2853764.03</v>
      </c>
      <c r="D217" s="26">
        <v>263434.96000000002</v>
      </c>
      <c r="E217" s="26">
        <v>229383.66</v>
      </c>
      <c r="F217" s="26">
        <v>34051.300000000003</v>
      </c>
      <c r="G217" s="26">
        <v>-2819712.73</v>
      </c>
      <c r="H217">
        <f>_xlfn.XLOOKUP(A217,indice!A:A,indice!C:C)</f>
        <v>1</v>
      </c>
      <c r="I217" t="str">
        <f>_xlfn.XLOOKUP(A217,indice!A:A,indice!D:D)</f>
        <v>Daycoval/Raizen</v>
      </c>
    </row>
    <row r="218" spans="1:9" x14ac:dyDescent="0.25">
      <c r="A218" t="s">
        <v>1184</v>
      </c>
      <c r="B218" t="s">
        <v>1185</v>
      </c>
      <c r="C218" s="26">
        <v>-10437600</v>
      </c>
      <c r="D218" s="26">
        <v>1210789.33</v>
      </c>
      <c r="E218" s="26">
        <v>750389.33</v>
      </c>
      <c r="F218" s="26">
        <v>460400</v>
      </c>
      <c r="G218" s="26">
        <v>-9977200</v>
      </c>
      <c r="H218">
        <f>_xlfn.XLOOKUP(A218,indice!A:A,indice!C:C)</f>
        <v>1</v>
      </c>
      <c r="I218" t="str">
        <f>_xlfn.XLOOKUP(A218,indice!A:A,indice!D:D)</f>
        <v>Sucres</v>
      </c>
    </row>
    <row r="219" spans="1:9" x14ac:dyDescent="0.25">
      <c r="A219" t="s">
        <v>1215</v>
      </c>
      <c r="B219" t="s">
        <v>1216</v>
      </c>
      <c r="C219" s="26">
        <v>0</v>
      </c>
      <c r="D219" s="26">
        <v>0</v>
      </c>
      <c r="E219" s="26">
        <v>230912.45</v>
      </c>
      <c r="F219" s="26">
        <v>-230912.45</v>
      </c>
      <c r="G219" s="26">
        <v>-230912.45</v>
      </c>
      <c r="H219">
        <f>_xlfn.XLOOKUP(A219,indice!A:A,indice!C:C)</f>
        <v>1</v>
      </c>
      <c r="I219" t="str">
        <f>_xlfn.XLOOKUP(A219,indice!A:A,indice!D:D)</f>
        <v>Daycoval/Raizen</v>
      </c>
    </row>
    <row r="220" spans="1:9" x14ac:dyDescent="0.25">
      <c r="A220" t="s">
        <v>482</v>
      </c>
      <c r="B220" t="s">
        <v>483</v>
      </c>
      <c r="C220" s="26">
        <v>832849.31</v>
      </c>
      <c r="D220" s="26">
        <v>76574.67</v>
      </c>
      <c r="E220" s="26">
        <v>83321.52</v>
      </c>
      <c r="F220" s="26">
        <v>-6746.85</v>
      </c>
      <c r="G220" s="26">
        <v>826102.46</v>
      </c>
      <c r="H220">
        <f>_xlfn.XLOOKUP(A220,indice!A:A,indice!C:C)</f>
        <v>1</v>
      </c>
      <c r="I220" t="str">
        <f>_xlfn.XLOOKUP(A220,indice!A:A,indice!D:D)</f>
        <v>Daycoval/Raizen</v>
      </c>
    </row>
    <row r="221" spans="1:9" x14ac:dyDescent="0.25">
      <c r="A221" t="s">
        <v>484</v>
      </c>
      <c r="B221" t="s">
        <v>485</v>
      </c>
      <c r="C221" s="26">
        <v>-1880709.4</v>
      </c>
      <c r="D221" s="26">
        <v>3269291.22</v>
      </c>
      <c r="E221" s="26">
        <v>3311193.35</v>
      </c>
      <c r="F221" s="26">
        <v>-41902.129999999997</v>
      </c>
      <c r="G221" s="26">
        <v>-1922611.53</v>
      </c>
      <c r="H221" t="str">
        <f>_xlfn.XLOOKUP(A221,indice!A:A,indice!C:C)</f>
        <v>S</v>
      </c>
      <c r="I221" t="str">
        <f>_xlfn.XLOOKUP(A221,indice!A:A,indice!D:D)</f>
        <v>SINTETICA</v>
      </c>
    </row>
    <row r="222" spans="1:9" x14ac:dyDescent="0.25">
      <c r="A222" t="s">
        <v>486</v>
      </c>
      <c r="B222" t="s">
        <v>487</v>
      </c>
      <c r="C222" s="26">
        <v>-109022.42</v>
      </c>
      <c r="D222" s="26">
        <v>59464.52</v>
      </c>
      <c r="E222" s="26">
        <v>59464.52</v>
      </c>
      <c r="F222" s="26">
        <v>0</v>
      </c>
      <c r="G222" s="26">
        <v>-109022.42</v>
      </c>
      <c r="H222">
        <f>_xlfn.XLOOKUP(A222,indice!A:A,indice!C:C)</f>
        <v>4</v>
      </c>
      <c r="I222" t="str">
        <f>_xlfn.XLOOKUP(A222,indice!A:A,indice!D:D)</f>
        <v>Salarioa a pagar</v>
      </c>
    </row>
    <row r="223" spans="1:9" x14ac:dyDescent="0.25">
      <c r="A223" t="s">
        <v>488</v>
      </c>
      <c r="B223" t="s">
        <v>489</v>
      </c>
      <c r="C223" s="26">
        <v>-3464.35</v>
      </c>
      <c r="D223" s="26">
        <v>547010.91</v>
      </c>
      <c r="E223" s="26">
        <v>543774.31999999995</v>
      </c>
      <c r="F223" s="26">
        <v>3236.59</v>
      </c>
      <c r="G223" s="26">
        <v>-227.76</v>
      </c>
      <c r="H223">
        <f>_xlfn.XLOOKUP(A223,indice!A:A,indice!C:C)</f>
        <v>4</v>
      </c>
      <c r="I223" t="str">
        <f>_xlfn.XLOOKUP(A223,indice!A:A,indice!D:D)</f>
        <v>Salarioa a pagar</v>
      </c>
    </row>
    <row r="224" spans="1:9" x14ac:dyDescent="0.25">
      <c r="A224" t="s">
        <v>490</v>
      </c>
      <c r="B224" t="s">
        <v>491</v>
      </c>
      <c r="C224" s="26">
        <v>-2083.06</v>
      </c>
      <c r="D224" s="26">
        <v>64032.53</v>
      </c>
      <c r="E224" s="26">
        <v>81889.399999999994</v>
      </c>
      <c r="F224" s="26">
        <v>-17856.87</v>
      </c>
      <c r="G224" s="26">
        <v>-19939.93</v>
      </c>
      <c r="H224">
        <f>_xlfn.XLOOKUP(A224,indice!A:A,indice!C:C)</f>
        <v>4</v>
      </c>
      <c r="I224" t="str">
        <f>_xlfn.XLOOKUP(A224,indice!A:A,indice!D:D)</f>
        <v>Salarioa a pagar</v>
      </c>
    </row>
    <row r="225" spans="1:9" x14ac:dyDescent="0.25">
      <c r="A225" t="s">
        <v>492</v>
      </c>
      <c r="B225" t="s">
        <v>493</v>
      </c>
      <c r="C225" s="26">
        <v>-10750.23</v>
      </c>
      <c r="D225" s="26">
        <v>10287.34</v>
      </c>
      <c r="E225" s="26">
        <v>10464.879999999999</v>
      </c>
      <c r="F225" s="26">
        <v>-177.54</v>
      </c>
      <c r="G225" s="26">
        <v>-10927.77</v>
      </c>
      <c r="H225">
        <f>_xlfn.XLOOKUP(A225,indice!A:A,indice!C:C)</f>
        <v>4</v>
      </c>
      <c r="I225" t="str">
        <f>_xlfn.XLOOKUP(A225,indice!A:A,indice!D:D)</f>
        <v>Salarioa a pagar</v>
      </c>
    </row>
    <row r="226" spans="1:9" x14ac:dyDescent="0.25">
      <c r="A226" t="s">
        <v>494</v>
      </c>
      <c r="B226" t="s">
        <v>495</v>
      </c>
      <c r="C226" s="26">
        <v>-562430.29</v>
      </c>
      <c r="D226" s="26">
        <v>1132115.6299999999</v>
      </c>
      <c r="E226" s="26">
        <v>1563052.01</v>
      </c>
      <c r="F226" s="26">
        <v>-430936.38</v>
      </c>
      <c r="G226" s="26">
        <v>-993366.67</v>
      </c>
      <c r="H226">
        <f>_xlfn.XLOOKUP(A226,indice!A:A,indice!C:C)</f>
        <v>4</v>
      </c>
      <c r="I226" t="str">
        <f>_xlfn.XLOOKUP(A226,indice!A:A,indice!D:D)</f>
        <v>Salarioa a pagar</v>
      </c>
    </row>
    <row r="227" spans="1:9" x14ac:dyDescent="0.25">
      <c r="A227" t="s">
        <v>496</v>
      </c>
      <c r="B227" t="s">
        <v>497</v>
      </c>
      <c r="C227" s="26">
        <v>-1118691.3799999999</v>
      </c>
      <c r="D227" s="26">
        <v>1384500.47</v>
      </c>
      <c r="E227" s="26">
        <v>972613.32</v>
      </c>
      <c r="F227" s="26">
        <v>411887.15</v>
      </c>
      <c r="G227" s="26">
        <v>-706804.23</v>
      </c>
      <c r="H227">
        <f>_xlfn.XLOOKUP(A227,indice!A:A,indice!C:C)</f>
        <v>4</v>
      </c>
      <c r="I227" t="str">
        <f>_xlfn.XLOOKUP(A227,indice!A:A,indice!D:D)</f>
        <v>Salarioa a pagar</v>
      </c>
    </row>
    <row r="228" spans="1:9" x14ac:dyDescent="0.25">
      <c r="A228" t="s">
        <v>1146</v>
      </c>
      <c r="B228" t="s">
        <v>1147</v>
      </c>
      <c r="C228" s="26">
        <v>-74267.67</v>
      </c>
      <c r="D228" s="26">
        <v>71879.820000000007</v>
      </c>
      <c r="E228" s="26">
        <v>79934.899999999994</v>
      </c>
      <c r="F228" s="26">
        <v>-8055.08</v>
      </c>
      <c r="G228" s="26">
        <v>-82322.75</v>
      </c>
      <c r="H228">
        <f>_xlfn.XLOOKUP(A228,indice!A:A,indice!C:C)</f>
        <v>4</v>
      </c>
      <c r="I228" t="str">
        <f>_xlfn.XLOOKUP(A228,indice!A:A,indice!D:D)</f>
        <v>Salarioa a pagar</v>
      </c>
    </row>
    <row r="229" spans="1:9" x14ac:dyDescent="0.25">
      <c r="A229" t="s">
        <v>498</v>
      </c>
      <c r="B229" t="s">
        <v>499</v>
      </c>
      <c r="C229" s="26">
        <v>-839741.89</v>
      </c>
      <c r="D229" s="26">
        <v>1147257.6299999999</v>
      </c>
      <c r="E229" s="26">
        <v>908325.07</v>
      </c>
      <c r="F229" s="26">
        <v>238932.56</v>
      </c>
      <c r="G229" s="26">
        <v>-600809.32999999996</v>
      </c>
      <c r="H229" t="str">
        <f>_xlfn.XLOOKUP(A229,indice!A:A,indice!C:C)</f>
        <v>S</v>
      </c>
      <c r="I229" t="str">
        <f>_xlfn.XLOOKUP(A229,indice!A:A,indice!D:D)</f>
        <v>SINTETICA</v>
      </c>
    </row>
    <row r="230" spans="1:9" x14ac:dyDescent="0.25">
      <c r="A230" t="s">
        <v>500</v>
      </c>
      <c r="B230" t="s">
        <v>501</v>
      </c>
      <c r="C230" s="26">
        <v>-467875.82</v>
      </c>
      <c r="D230" s="26">
        <v>475562.02</v>
      </c>
      <c r="E230" s="26">
        <v>344062.54</v>
      </c>
      <c r="F230" s="26">
        <v>131499.48000000001</v>
      </c>
      <c r="G230" s="26">
        <v>-336376.34</v>
      </c>
      <c r="H230">
        <f>_xlfn.XLOOKUP(A230,indice!A:A,indice!C:C)</f>
        <v>3</v>
      </c>
      <c r="I230" t="str">
        <f>_xlfn.XLOOKUP(A230,indice!A:A,indice!D:D)</f>
        <v>Impostos taxas e contribuições</v>
      </c>
    </row>
    <row r="231" spans="1:9" x14ac:dyDescent="0.25">
      <c r="A231" t="s">
        <v>502</v>
      </c>
      <c r="B231" t="s">
        <v>503</v>
      </c>
      <c r="C231" s="26">
        <v>-293061.38</v>
      </c>
      <c r="D231" s="26">
        <v>606847.6</v>
      </c>
      <c r="E231" s="26">
        <v>514331.56</v>
      </c>
      <c r="F231" s="26">
        <v>92516.04</v>
      </c>
      <c r="G231" s="26">
        <v>-200545.34</v>
      </c>
      <c r="H231">
        <f>_xlfn.XLOOKUP(A231,indice!A:A,indice!C:C)</f>
        <v>3</v>
      </c>
      <c r="I231" t="str">
        <f>_xlfn.XLOOKUP(A231,indice!A:A,indice!D:D)</f>
        <v>Impostos taxas e contribuições</v>
      </c>
    </row>
    <row r="232" spans="1:9" x14ac:dyDescent="0.25">
      <c r="A232" t="s">
        <v>504</v>
      </c>
      <c r="B232" t="s">
        <v>505</v>
      </c>
      <c r="C232" s="26">
        <v>-23887.56</v>
      </c>
      <c r="D232" s="26">
        <v>19228.52</v>
      </c>
      <c r="E232" s="26">
        <v>17801.41</v>
      </c>
      <c r="F232" s="26">
        <v>1427.11</v>
      </c>
      <c r="G232" s="26">
        <v>-22460.45</v>
      </c>
      <c r="H232">
        <f>_xlfn.XLOOKUP(A232,indice!A:A,indice!C:C)</f>
        <v>3</v>
      </c>
      <c r="I232" t="str">
        <f>_xlfn.XLOOKUP(A232,indice!A:A,indice!D:D)</f>
        <v>Impostos taxas e contribuições</v>
      </c>
    </row>
    <row r="233" spans="1:9" x14ac:dyDescent="0.25">
      <c r="A233" t="s">
        <v>506</v>
      </c>
      <c r="B233" t="s">
        <v>507</v>
      </c>
      <c r="C233" s="26">
        <v>-44020.77</v>
      </c>
      <c r="D233" s="26">
        <v>35374.68</v>
      </c>
      <c r="E233" s="26">
        <v>24600.6</v>
      </c>
      <c r="F233" s="26">
        <v>10774.08</v>
      </c>
      <c r="G233" s="26">
        <v>-33246.69</v>
      </c>
      <c r="H233">
        <f>_xlfn.XLOOKUP(A233,indice!A:A,indice!C:C)</f>
        <v>3</v>
      </c>
      <c r="I233" t="str">
        <f>_xlfn.XLOOKUP(A233,indice!A:A,indice!D:D)</f>
        <v>Impostos taxas e contribuições</v>
      </c>
    </row>
    <row r="234" spans="1:9" x14ac:dyDescent="0.25">
      <c r="A234" t="s">
        <v>508</v>
      </c>
      <c r="B234" t="s">
        <v>509</v>
      </c>
      <c r="C234" s="26">
        <v>-879.73</v>
      </c>
      <c r="D234" s="26">
        <v>879.73</v>
      </c>
      <c r="E234" s="26">
        <v>0</v>
      </c>
      <c r="F234" s="26">
        <v>879.73</v>
      </c>
      <c r="G234" s="26">
        <v>0</v>
      </c>
      <c r="H234">
        <f>_xlfn.XLOOKUP(A234,indice!A:A,indice!C:C)</f>
        <v>3</v>
      </c>
      <c r="I234" t="str">
        <f>_xlfn.XLOOKUP(A234,indice!A:A,indice!D:D)</f>
        <v>Impostos taxas e contribuições</v>
      </c>
    </row>
    <row r="235" spans="1:9" x14ac:dyDescent="0.25">
      <c r="A235" t="s">
        <v>510</v>
      </c>
      <c r="B235" t="s">
        <v>511</v>
      </c>
      <c r="C235" s="26">
        <v>-6477.57</v>
      </c>
      <c r="D235" s="26">
        <v>6477.57</v>
      </c>
      <c r="E235" s="26">
        <v>5750.33</v>
      </c>
      <c r="F235" s="26">
        <v>727.24</v>
      </c>
      <c r="G235" s="26">
        <v>-5750.33</v>
      </c>
      <c r="H235">
        <f>_xlfn.XLOOKUP(A235,indice!A:A,indice!C:C)</f>
        <v>3</v>
      </c>
      <c r="I235" t="str">
        <f>_xlfn.XLOOKUP(A235,indice!A:A,indice!D:D)</f>
        <v>Impostos taxas e contribuições</v>
      </c>
    </row>
    <row r="236" spans="1:9" x14ac:dyDescent="0.25">
      <c r="A236" t="s">
        <v>512</v>
      </c>
      <c r="B236" t="s">
        <v>513</v>
      </c>
      <c r="C236" s="26">
        <v>-3168.27</v>
      </c>
      <c r="D236" s="26">
        <v>2434.84</v>
      </c>
      <c r="E236" s="26">
        <v>1325.96</v>
      </c>
      <c r="F236" s="26">
        <v>1108.8800000000001</v>
      </c>
      <c r="G236" s="26">
        <v>-2059.39</v>
      </c>
      <c r="H236">
        <f>_xlfn.XLOOKUP(A236,indice!A:A,indice!C:C)</f>
        <v>3</v>
      </c>
      <c r="I236" t="str">
        <f>_xlfn.XLOOKUP(A236,indice!A:A,indice!D:D)</f>
        <v>Impostos taxas e contribuições</v>
      </c>
    </row>
    <row r="237" spans="1:9" x14ac:dyDescent="0.25">
      <c r="A237" t="s">
        <v>516</v>
      </c>
      <c r="B237" t="s">
        <v>517</v>
      </c>
      <c r="C237" s="26">
        <v>0</v>
      </c>
      <c r="D237" s="26">
        <v>81.88</v>
      </c>
      <c r="E237" s="26">
        <v>81.88</v>
      </c>
      <c r="F237" s="26">
        <v>0</v>
      </c>
      <c r="G237" s="26">
        <v>0</v>
      </c>
      <c r="H237">
        <f>_xlfn.XLOOKUP(A237,indice!A:A,indice!C:C)</f>
        <v>3</v>
      </c>
      <c r="I237" t="str">
        <f>_xlfn.XLOOKUP(A237,indice!A:A,indice!D:D)</f>
        <v>Impostos taxas e contribuições</v>
      </c>
    </row>
    <row r="238" spans="1:9" x14ac:dyDescent="0.25">
      <c r="A238" t="s">
        <v>520</v>
      </c>
      <c r="B238" t="s">
        <v>1106</v>
      </c>
      <c r="C238" s="26">
        <v>-370.79</v>
      </c>
      <c r="D238" s="26">
        <v>370.79</v>
      </c>
      <c r="E238" s="26">
        <v>370.79</v>
      </c>
      <c r="F238" s="26">
        <v>0</v>
      </c>
      <c r="G238" s="26">
        <v>-370.79</v>
      </c>
      <c r="H238">
        <f>_xlfn.XLOOKUP(A238,indice!A:A,indice!C:C)</f>
        <v>3</v>
      </c>
      <c r="I238" t="str">
        <f>_xlfn.XLOOKUP(A238,indice!A:A,indice!D:D)</f>
        <v>Impostos taxas e contribuições</v>
      </c>
    </row>
    <row r="239" spans="1:9" x14ac:dyDescent="0.25">
      <c r="A239" t="s">
        <v>522</v>
      </c>
      <c r="B239" t="s">
        <v>523</v>
      </c>
      <c r="C239" s="26">
        <v>-80504.539999999994</v>
      </c>
      <c r="D239" s="26">
        <v>247257.12</v>
      </c>
      <c r="E239" s="26">
        <v>395261.34</v>
      </c>
      <c r="F239" s="26">
        <v>-148004.22</v>
      </c>
      <c r="G239" s="26">
        <v>-228508.76</v>
      </c>
      <c r="H239" t="str">
        <f>_xlfn.XLOOKUP(A239,indice!A:A,indice!C:C)</f>
        <v>S</v>
      </c>
      <c r="I239" t="str">
        <f>_xlfn.XLOOKUP(A239,indice!A:A,indice!D:D)</f>
        <v>SINTETICA</v>
      </c>
    </row>
    <row r="240" spans="1:9" x14ac:dyDescent="0.25">
      <c r="A240" t="s">
        <v>524</v>
      </c>
      <c r="B240" t="s">
        <v>525</v>
      </c>
      <c r="C240" s="26">
        <v>0</v>
      </c>
      <c r="D240" s="26">
        <v>1435.48</v>
      </c>
      <c r="E240" s="26">
        <v>4128.5600000000004</v>
      </c>
      <c r="F240" s="26">
        <v>-2693.08</v>
      </c>
      <c r="G240" s="26">
        <v>-2693.08</v>
      </c>
      <c r="H240">
        <f>_xlfn.XLOOKUP(A240,indice!A:A,indice!C:C)</f>
        <v>3</v>
      </c>
      <c r="I240" t="str">
        <f>_xlfn.XLOOKUP(A240,indice!A:A,indice!D:D)</f>
        <v>Encargos tributários</v>
      </c>
    </row>
    <row r="241" spans="1:9" x14ac:dyDescent="0.25">
      <c r="A241" t="s">
        <v>526</v>
      </c>
      <c r="B241" t="s">
        <v>527</v>
      </c>
      <c r="C241" s="26">
        <v>0</v>
      </c>
      <c r="D241" s="26">
        <v>16176.24</v>
      </c>
      <c r="E241" s="26">
        <v>32683.9</v>
      </c>
      <c r="F241" s="26">
        <v>-16507.66</v>
      </c>
      <c r="G241" s="26">
        <v>-16507.66</v>
      </c>
      <c r="H241">
        <f>_xlfn.XLOOKUP(A241,indice!A:A,indice!C:C)</f>
        <v>3</v>
      </c>
      <c r="I241" t="str">
        <f>_xlfn.XLOOKUP(A241,indice!A:A,indice!D:D)</f>
        <v>Encargos tributários</v>
      </c>
    </row>
    <row r="242" spans="1:9" x14ac:dyDescent="0.25">
      <c r="A242" t="s">
        <v>532</v>
      </c>
      <c r="B242" t="s">
        <v>533</v>
      </c>
      <c r="C242" s="26">
        <v>0</v>
      </c>
      <c r="D242" s="26">
        <v>1818.86</v>
      </c>
      <c r="E242" s="26">
        <v>1818.86</v>
      </c>
      <c r="F242" s="26">
        <v>0</v>
      </c>
      <c r="G242" s="26">
        <v>0</v>
      </c>
      <c r="H242">
        <f>_xlfn.XLOOKUP(A242,indice!A:A,indice!C:C)</f>
        <v>3</v>
      </c>
      <c r="I242" t="str">
        <f>_xlfn.XLOOKUP(A242,indice!A:A,indice!D:D)</f>
        <v>Encargos tributários</v>
      </c>
    </row>
    <row r="243" spans="1:9" x14ac:dyDescent="0.25">
      <c r="A243" t="s">
        <v>534</v>
      </c>
      <c r="B243" t="s">
        <v>535</v>
      </c>
      <c r="C243" s="26">
        <v>0</v>
      </c>
      <c r="D243" s="26">
        <v>13934.34</v>
      </c>
      <c r="E243" s="26">
        <v>13934.34</v>
      </c>
      <c r="F243" s="26">
        <v>0</v>
      </c>
      <c r="G243" s="26">
        <v>0</v>
      </c>
      <c r="H243">
        <f>_xlfn.XLOOKUP(A243,indice!A:A,indice!C:C)</f>
        <v>3</v>
      </c>
      <c r="I243" t="str">
        <f>_xlfn.XLOOKUP(A243,indice!A:A,indice!D:D)</f>
        <v>Encargos tributários</v>
      </c>
    </row>
    <row r="244" spans="1:9" x14ac:dyDescent="0.25">
      <c r="A244" t="s">
        <v>536</v>
      </c>
      <c r="B244" t="s">
        <v>537</v>
      </c>
      <c r="C244" s="26">
        <v>-28857.17</v>
      </c>
      <c r="D244" s="26">
        <v>24723.200000000001</v>
      </c>
      <c r="E244" s="26">
        <v>9673.98</v>
      </c>
      <c r="F244" s="26">
        <v>15049.22</v>
      </c>
      <c r="G244" s="26">
        <v>-13807.95</v>
      </c>
      <c r="H244">
        <f>_xlfn.XLOOKUP(A244,indice!A:A,indice!C:C)</f>
        <v>3</v>
      </c>
      <c r="I244" t="str">
        <f>_xlfn.XLOOKUP(A244,indice!A:A,indice!D:D)</f>
        <v>Encargos tributários</v>
      </c>
    </row>
    <row r="245" spans="1:9" x14ac:dyDescent="0.25">
      <c r="A245" t="s">
        <v>538</v>
      </c>
      <c r="B245" t="s">
        <v>539</v>
      </c>
      <c r="C245" s="26">
        <v>0</v>
      </c>
      <c r="D245" s="26">
        <v>64239.06</v>
      </c>
      <c r="E245" s="26">
        <v>64239.06</v>
      </c>
      <c r="F245" s="26">
        <v>0</v>
      </c>
      <c r="G245" s="26">
        <v>0</v>
      </c>
      <c r="H245">
        <f>_xlfn.XLOOKUP(A245,indice!A:A,indice!C:C)</f>
        <v>3</v>
      </c>
      <c r="I245" t="str">
        <f>_xlfn.XLOOKUP(A245,indice!A:A,indice!D:D)</f>
        <v>Encargos tributários</v>
      </c>
    </row>
    <row r="246" spans="1:9" x14ac:dyDescent="0.25">
      <c r="A246" t="s">
        <v>540</v>
      </c>
      <c r="B246" t="s">
        <v>541</v>
      </c>
      <c r="C246" s="26">
        <v>-51647.37</v>
      </c>
      <c r="D246" s="26">
        <v>124929.94</v>
      </c>
      <c r="E246" s="26">
        <v>268782.64</v>
      </c>
      <c r="F246" s="26">
        <v>-143852.70000000001</v>
      </c>
      <c r="G246" s="26">
        <v>-195500.07</v>
      </c>
      <c r="H246">
        <f>_xlfn.XLOOKUP(A246,indice!A:A,indice!C:C)</f>
        <v>3</v>
      </c>
      <c r="I246" t="str">
        <f>_xlfn.XLOOKUP(A246,indice!A:A,indice!D:D)</f>
        <v>Encargos tributários</v>
      </c>
    </row>
    <row r="247" spans="1:9" x14ac:dyDescent="0.25">
      <c r="A247" t="s">
        <v>542</v>
      </c>
      <c r="B247" t="s">
        <v>543</v>
      </c>
      <c r="C247" s="26">
        <v>-8381240.3300000001</v>
      </c>
      <c r="D247" s="26">
        <v>1034911.06</v>
      </c>
      <c r="E247" s="26">
        <v>696657.19</v>
      </c>
      <c r="F247" s="26">
        <v>338253.87</v>
      </c>
      <c r="G247" s="26">
        <v>-8042986.46</v>
      </c>
      <c r="H247" t="str">
        <f>_xlfn.XLOOKUP(A247,indice!A:A,indice!C:C)</f>
        <v>S</v>
      </c>
      <c r="I247" t="str">
        <f>_xlfn.XLOOKUP(A247,indice!A:A,indice!D:D)</f>
        <v>SINTETICA</v>
      </c>
    </row>
    <row r="248" spans="1:9" x14ac:dyDescent="0.25">
      <c r="A248" t="s">
        <v>544</v>
      </c>
      <c r="B248" t="s">
        <v>545</v>
      </c>
      <c r="C248" s="26">
        <v>-6482140.3600000003</v>
      </c>
      <c r="D248" s="26">
        <v>864198.59</v>
      </c>
      <c r="E248" s="26">
        <v>354144.24</v>
      </c>
      <c r="F248" s="26">
        <v>510054.35</v>
      </c>
      <c r="G248" s="26">
        <v>-5972086.0099999998</v>
      </c>
      <c r="H248">
        <f>_xlfn.XLOOKUP(A248,indice!A:A,indice!C:C)</f>
        <v>4</v>
      </c>
      <c r="I248" t="str">
        <f>_xlfn.XLOOKUP(A248,indice!A:A,indice!D:D)</f>
        <v>Provisões</v>
      </c>
    </row>
    <row r="249" spans="1:9" x14ac:dyDescent="0.25">
      <c r="A249" t="s">
        <v>546</v>
      </c>
      <c r="B249" t="s">
        <v>547</v>
      </c>
      <c r="C249" s="26">
        <v>-974548.25</v>
      </c>
      <c r="D249" s="26">
        <v>61868.74</v>
      </c>
      <c r="E249" s="26">
        <v>264741.17</v>
      </c>
      <c r="F249" s="26">
        <v>-202872.43</v>
      </c>
      <c r="G249" s="26">
        <v>-1177420.68</v>
      </c>
      <c r="H249">
        <f>_xlfn.XLOOKUP(A249,indice!A:A,indice!C:C)</f>
        <v>4</v>
      </c>
      <c r="I249" t="str">
        <f>_xlfn.XLOOKUP(A249,indice!A:A,indice!D:D)</f>
        <v>Provisões</v>
      </c>
    </row>
    <row r="250" spans="1:9" x14ac:dyDescent="0.25">
      <c r="A250" t="s">
        <v>548</v>
      </c>
      <c r="B250" t="s">
        <v>549</v>
      </c>
      <c r="C250" s="26">
        <v>-285111.53000000003</v>
      </c>
      <c r="D250" s="26">
        <v>32890.32</v>
      </c>
      <c r="E250" s="26">
        <v>16302.28</v>
      </c>
      <c r="F250" s="26">
        <v>16588.04</v>
      </c>
      <c r="G250" s="26">
        <v>-268523.49</v>
      </c>
      <c r="H250">
        <f>_xlfn.XLOOKUP(A250,indice!A:A,indice!C:C)</f>
        <v>4</v>
      </c>
      <c r="I250" t="str">
        <f>_xlfn.XLOOKUP(A250,indice!A:A,indice!D:D)</f>
        <v>Provisões</v>
      </c>
    </row>
    <row r="251" spans="1:9" x14ac:dyDescent="0.25">
      <c r="A251" t="s">
        <v>550</v>
      </c>
      <c r="B251" t="s">
        <v>551</v>
      </c>
      <c r="C251" s="26">
        <v>-43795.82</v>
      </c>
      <c r="D251" s="26">
        <v>1949.12</v>
      </c>
      <c r="E251" s="26">
        <v>12263.04</v>
      </c>
      <c r="F251" s="26">
        <v>-10313.92</v>
      </c>
      <c r="G251" s="26">
        <v>-54109.74</v>
      </c>
      <c r="H251">
        <f>_xlfn.XLOOKUP(A251,indice!A:A,indice!C:C)</f>
        <v>4</v>
      </c>
      <c r="I251" t="str">
        <f>_xlfn.XLOOKUP(A251,indice!A:A,indice!D:D)</f>
        <v>Provisões</v>
      </c>
    </row>
    <row r="252" spans="1:9" x14ac:dyDescent="0.25">
      <c r="A252" t="s">
        <v>552</v>
      </c>
      <c r="B252" t="s">
        <v>553</v>
      </c>
      <c r="C252" s="26">
        <v>-517968.46</v>
      </c>
      <c r="D252" s="26">
        <v>69054.820000000007</v>
      </c>
      <c r="E252" s="26">
        <v>28121.05</v>
      </c>
      <c r="F252" s="26">
        <v>40933.769999999997</v>
      </c>
      <c r="G252" s="26">
        <v>-477034.69</v>
      </c>
      <c r="H252">
        <f>_xlfn.XLOOKUP(A252,indice!A:A,indice!C:C)</f>
        <v>4</v>
      </c>
      <c r="I252" t="str">
        <f>_xlfn.XLOOKUP(A252,indice!A:A,indice!D:D)</f>
        <v>Provisões</v>
      </c>
    </row>
    <row r="253" spans="1:9" x14ac:dyDescent="0.25">
      <c r="A253" t="s">
        <v>554</v>
      </c>
      <c r="B253" t="s">
        <v>555</v>
      </c>
      <c r="C253" s="26">
        <v>-77675.91</v>
      </c>
      <c r="D253" s="26">
        <v>4949.47</v>
      </c>
      <c r="E253" s="26">
        <v>21085.41</v>
      </c>
      <c r="F253" s="26">
        <v>-16135.94</v>
      </c>
      <c r="G253" s="26">
        <v>-93811.85</v>
      </c>
      <c r="H253">
        <f>_xlfn.XLOOKUP(A253,indice!A:A,indice!C:C)</f>
        <v>4</v>
      </c>
      <c r="I253" t="str">
        <f>_xlfn.XLOOKUP(A253,indice!A:A,indice!D:D)</f>
        <v>Provisões</v>
      </c>
    </row>
    <row r="254" spans="1:9" x14ac:dyDescent="0.25">
      <c r="A254" t="s">
        <v>560</v>
      </c>
      <c r="B254" t="s">
        <v>561</v>
      </c>
      <c r="C254" s="26">
        <v>-308753.91999999998</v>
      </c>
      <c r="D254" s="26">
        <v>151863.17000000001</v>
      </c>
      <c r="E254" s="26">
        <v>340711.3</v>
      </c>
      <c r="F254" s="26">
        <v>-188848.13</v>
      </c>
      <c r="G254" s="26">
        <v>-497602.05</v>
      </c>
      <c r="H254" t="str">
        <f>_xlfn.XLOOKUP(A254,indice!A:A,indice!C:C)</f>
        <v>S</v>
      </c>
      <c r="I254" t="str">
        <f>_xlfn.XLOOKUP(A254,indice!A:A,indice!D:D)</f>
        <v>SINTETICA</v>
      </c>
    </row>
    <row r="255" spans="1:9" x14ac:dyDescent="0.25">
      <c r="A255" t="s">
        <v>564</v>
      </c>
      <c r="B255" t="s">
        <v>565</v>
      </c>
      <c r="C255" s="26">
        <v>-308753.91999999998</v>
      </c>
      <c r="D255" s="26">
        <v>151863.17000000001</v>
      </c>
      <c r="E255" s="26">
        <v>340711.3</v>
      </c>
      <c r="F255" s="26">
        <v>-188848.13</v>
      </c>
      <c r="G255" s="26">
        <v>-497602.05</v>
      </c>
      <c r="H255">
        <f>_xlfn.XLOOKUP(A255,indice!A:A,indice!C:C)</f>
        <v>8</v>
      </c>
      <c r="I255" t="str">
        <f>_xlfn.XLOOKUP(A255,indice!A:A,indice!D:D)</f>
        <v>Credores diversos</v>
      </c>
    </row>
    <row r="256" spans="1:9" x14ac:dyDescent="0.25">
      <c r="A256" t="s">
        <v>568</v>
      </c>
      <c r="B256" t="s">
        <v>569</v>
      </c>
      <c r="C256" s="26">
        <v>-18235140.710000001</v>
      </c>
      <c r="D256" s="26">
        <v>203262.13</v>
      </c>
      <c r="E256" s="26">
        <v>1763287.55</v>
      </c>
      <c r="F256" s="26">
        <v>-1560025.42</v>
      </c>
      <c r="G256" s="26">
        <v>-19795166.129999999</v>
      </c>
      <c r="H256" t="str">
        <f>_xlfn.XLOOKUP(A256,indice!A:A,indice!C:C)</f>
        <v>S</v>
      </c>
      <c r="I256" t="str">
        <f>_xlfn.XLOOKUP(A256,indice!A:A,indice!D:D)</f>
        <v>SINTETICA</v>
      </c>
    </row>
    <row r="257" spans="1:9" x14ac:dyDescent="0.25">
      <c r="A257" t="s">
        <v>574</v>
      </c>
      <c r="B257" t="s">
        <v>575</v>
      </c>
      <c r="C257" s="26">
        <v>-41855.99</v>
      </c>
      <c r="D257" s="26">
        <v>3842.04</v>
      </c>
      <c r="E257" s="26">
        <v>2165.9</v>
      </c>
      <c r="F257" s="26">
        <v>1676.14</v>
      </c>
      <c r="G257" s="26">
        <v>-40179.85</v>
      </c>
      <c r="H257">
        <f>_xlfn.XLOOKUP(A257,indice!A:A,indice!C:C)</f>
        <v>5</v>
      </c>
      <c r="I257" t="str">
        <f>_xlfn.XLOOKUP(A257,indice!A:A,indice!D:D)</f>
        <v>Parcelamentos Fiscais</v>
      </c>
    </row>
    <row r="258" spans="1:9" x14ac:dyDescent="0.25">
      <c r="A258" t="s">
        <v>576</v>
      </c>
      <c r="B258" t="s">
        <v>577</v>
      </c>
      <c r="C258" s="26">
        <v>-133181.88</v>
      </c>
      <c r="D258" s="26">
        <v>11098.49</v>
      </c>
      <c r="E258" s="26">
        <v>11098.49</v>
      </c>
      <c r="F258" s="26">
        <v>0</v>
      </c>
      <c r="G258" s="26">
        <v>-133181.88</v>
      </c>
      <c r="H258">
        <f>_xlfn.XLOOKUP(A258,indice!A:A,indice!C:C)</f>
        <v>5</v>
      </c>
      <c r="I258" t="str">
        <f>_xlfn.XLOOKUP(A258,indice!A:A,indice!D:D)</f>
        <v>Parcelamentos Fiscais</v>
      </c>
    </row>
    <row r="259" spans="1:9" x14ac:dyDescent="0.25">
      <c r="A259" t="s">
        <v>578</v>
      </c>
      <c r="B259" t="s">
        <v>579</v>
      </c>
      <c r="C259" s="26">
        <v>-676683.08</v>
      </c>
      <c r="D259" s="26">
        <v>55213.440000000002</v>
      </c>
      <c r="E259" s="26">
        <v>76675.66</v>
      </c>
      <c r="F259" s="26">
        <v>-21462.22</v>
      </c>
      <c r="G259" s="26">
        <v>-698145.3</v>
      </c>
      <c r="H259">
        <f>_xlfn.XLOOKUP(A259,indice!A:A,indice!C:C)</f>
        <v>5</v>
      </c>
      <c r="I259" t="str">
        <f>_xlfn.XLOOKUP(A259,indice!A:A,indice!D:D)</f>
        <v>Parcelamentos Fiscais</v>
      </c>
    </row>
    <row r="260" spans="1:9" x14ac:dyDescent="0.25">
      <c r="A260" t="s">
        <v>580</v>
      </c>
      <c r="B260" t="s">
        <v>581</v>
      </c>
      <c r="C260" s="26">
        <v>-52394.720000000001</v>
      </c>
      <c r="D260" s="26">
        <v>4631.33</v>
      </c>
      <c r="E260" s="26">
        <v>3622</v>
      </c>
      <c r="F260" s="26">
        <v>1009.33</v>
      </c>
      <c r="G260" s="26">
        <v>-51385.39</v>
      </c>
      <c r="H260">
        <f>_xlfn.XLOOKUP(A260,indice!A:A,indice!C:C)</f>
        <v>5</v>
      </c>
      <c r="I260" t="str">
        <f>_xlfn.XLOOKUP(A260,indice!A:A,indice!D:D)</f>
        <v>Parcelamentos Fiscais</v>
      </c>
    </row>
    <row r="261" spans="1:9" x14ac:dyDescent="0.25">
      <c r="A261" t="s">
        <v>582</v>
      </c>
      <c r="B261" t="s">
        <v>583</v>
      </c>
      <c r="C261" s="26">
        <v>-13222764.25</v>
      </c>
      <c r="D261" s="26">
        <v>0</v>
      </c>
      <c r="E261" s="26">
        <v>956892.59</v>
      </c>
      <c r="F261" s="26">
        <v>-956892.59</v>
      </c>
      <c r="G261" s="26">
        <v>-14179656.84</v>
      </c>
      <c r="H261">
        <f>_xlfn.XLOOKUP(A261,indice!A:A,indice!C:C)</f>
        <v>5</v>
      </c>
      <c r="I261" t="str">
        <f>_xlfn.XLOOKUP(A261,indice!A:A,indice!D:D)</f>
        <v>Parcelamentos Fiscais</v>
      </c>
    </row>
    <row r="262" spans="1:9" x14ac:dyDescent="0.25">
      <c r="A262" t="s">
        <v>584</v>
      </c>
      <c r="B262" t="s">
        <v>585</v>
      </c>
      <c r="C262" s="26">
        <v>-2535310.38</v>
      </c>
      <c r="D262" s="26">
        <v>0</v>
      </c>
      <c r="E262" s="26">
        <v>565673.07999999996</v>
      </c>
      <c r="F262" s="26">
        <v>-565673.07999999996</v>
      </c>
      <c r="G262" s="26">
        <v>-3100983.46</v>
      </c>
      <c r="H262">
        <f>_xlfn.XLOOKUP(A262,indice!A:A,indice!C:C)</f>
        <v>5</v>
      </c>
      <c r="I262" t="str">
        <f>_xlfn.XLOOKUP(A262,indice!A:A,indice!D:D)</f>
        <v>Parcelamentos Fiscais</v>
      </c>
    </row>
    <row r="263" spans="1:9" x14ac:dyDescent="0.25">
      <c r="A263" t="s">
        <v>590</v>
      </c>
      <c r="B263" t="s">
        <v>591</v>
      </c>
      <c r="C263" s="26">
        <v>-28891.57</v>
      </c>
      <c r="D263" s="26">
        <v>1570.68</v>
      </c>
      <c r="E263" s="26">
        <v>3504.57</v>
      </c>
      <c r="F263" s="26">
        <v>-1933.89</v>
      </c>
      <c r="G263" s="26">
        <v>-30825.46</v>
      </c>
      <c r="H263">
        <f>_xlfn.XLOOKUP(A263,indice!A:A,indice!C:C)</f>
        <v>5</v>
      </c>
      <c r="I263" t="str">
        <f>_xlfn.XLOOKUP(A263,indice!A:A,indice!D:D)</f>
        <v>Parcelamentos Fiscais</v>
      </c>
    </row>
    <row r="264" spans="1:9" x14ac:dyDescent="0.25">
      <c r="A264" t="s">
        <v>592</v>
      </c>
      <c r="B264" t="s">
        <v>593</v>
      </c>
      <c r="C264" s="26">
        <v>-825905.67</v>
      </c>
      <c r="D264" s="26">
        <v>66198.429999999993</v>
      </c>
      <c r="E264" s="26">
        <v>94823.93</v>
      </c>
      <c r="F264" s="26">
        <v>-28625.5</v>
      </c>
      <c r="G264" s="26">
        <v>-854531.17</v>
      </c>
      <c r="H264">
        <f>_xlfn.XLOOKUP(A264,indice!A:A,indice!C:C)</f>
        <v>5</v>
      </c>
      <c r="I264" t="str">
        <f>_xlfn.XLOOKUP(A264,indice!A:A,indice!D:D)</f>
        <v>Parcelamentos Fiscais</v>
      </c>
    </row>
    <row r="265" spans="1:9" x14ac:dyDescent="0.25">
      <c r="A265" t="s">
        <v>594</v>
      </c>
      <c r="B265" t="s">
        <v>595</v>
      </c>
      <c r="C265" s="26">
        <v>-122095.38</v>
      </c>
      <c r="D265" s="26">
        <v>10877.57</v>
      </c>
      <c r="E265" s="26">
        <v>6152.97</v>
      </c>
      <c r="F265" s="26">
        <v>4724.6000000000004</v>
      </c>
      <c r="G265" s="26">
        <v>-117370.78</v>
      </c>
      <c r="H265">
        <f>_xlfn.XLOOKUP(A265,indice!A:A,indice!C:C)</f>
        <v>5</v>
      </c>
      <c r="I265" t="str">
        <f>_xlfn.XLOOKUP(A265,indice!A:A,indice!D:D)</f>
        <v>Parcelamentos Fiscais</v>
      </c>
    </row>
    <row r="266" spans="1:9" x14ac:dyDescent="0.25">
      <c r="A266" t="s">
        <v>596</v>
      </c>
      <c r="B266" t="s">
        <v>597</v>
      </c>
      <c r="C266" s="26">
        <v>-316972.57</v>
      </c>
      <c r="D266" s="26">
        <v>48582.99</v>
      </c>
      <c r="E266" s="26">
        <v>2175.35</v>
      </c>
      <c r="F266" s="26">
        <v>46407.64</v>
      </c>
      <c r="G266" s="26">
        <v>-270564.93</v>
      </c>
      <c r="H266">
        <f>_xlfn.XLOOKUP(A266,indice!A:A,indice!C:C)</f>
        <v>5</v>
      </c>
      <c r="I266" t="str">
        <f>_xlfn.XLOOKUP(A266,indice!A:A,indice!D:D)</f>
        <v>Parcelamentos Fiscais</v>
      </c>
    </row>
    <row r="267" spans="1:9" x14ac:dyDescent="0.25">
      <c r="A267" t="s">
        <v>1150</v>
      </c>
      <c r="B267" t="s">
        <v>1151</v>
      </c>
      <c r="C267" s="26">
        <v>-279085.21999999997</v>
      </c>
      <c r="D267" s="26">
        <v>0</v>
      </c>
      <c r="E267" s="26">
        <v>31648.18</v>
      </c>
      <c r="F267" s="26">
        <v>-31648.18</v>
      </c>
      <c r="G267" s="26">
        <v>-310733.40000000002</v>
      </c>
      <c r="H267">
        <f>_xlfn.XLOOKUP(A267,indice!A:A,indice!C:C)</f>
        <v>5</v>
      </c>
      <c r="I267" t="str">
        <f>_xlfn.XLOOKUP(A267,indice!A:A,indice!D:D)</f>
        <v>Parcelamentos Fiscais</v>
      </c>
    </row>
    <row r="268" spans="1:9" x14ac:dyDescent="0.25">
      <c r="A268" t="s">
        <v>1233</v>
      </c>
      <c r="B268" t="s">
        <v>1234</v>
      </c>
      <c r="C268" s="26">
        <v>0</v>
      </c>
      <c r="D268" s="26">
        <v>623.58000000000004</v>
      </c>
      <c r="E268" s="26">
        <v>8231.25</v>
      </c>
      <c r="F268" s="26">
        <v>-7607.67</v>
      </c>
      <c r="G268" s="26">
        <v>-7607.67</v>
      </c>
      <c r="H268">
        <f>_xlfn.XLOOKUP(A268,indice!A:A,indice!C:C)</f>
        <v>5</v>
      </c>
      <c r="I268" t="str">
        <f>_xlfn.XLOOKUP(A268,indice!A:A,indice!D:D)</f>
        <v>Parcelamentos Fiscais</v>
      </c>
    </row>
    <row r="269" spans="1:9" x14ac:dyDescent="0.25">
      <c r="A269" t="s">
        <v>1235</v>
      </c>
      <c r="B269" t="s">
        <v>1236</v>
      </c>
      <c r="C269" s="26">
        <v>0</v>
      </c>
      <c r="D269" s="26">
        <v>623.58000000000004</v>
      </c>
      <c r="E269" s="26">
        <v>623.58000000000004</v>
      </c>
      <c r="F269" s="26">
        <v>0</v>
      </c>
      <c r="G269" s="26">
        <v>0</v>
      </c>
      <c r="H269">
        <f>_xlfn.XLOOKUP(A269,indice!A:A,indice!C:C)</f>
        <v>5</v>
      </c>
      <c r="I269" t="str">
        <f>_xlfn.XLOOKUP(A269,indice!A:A,indice!D:D)</f>
        <v>Parcelamentos Fiscais</v>
      </c>
    </row>
    <row r="270" spans="1:9" x14ac:dyDescent="0.25">
      <c r="A270" t="s">
        <v>598</v>
      </c>
      <c r="B270" t="s">
        <v>599</v>
      </c>
      <c r="C270" s="26">
        <v>-59382669.369999997</v>
      </c>
      <c r="D270" s="26">
        <v>7892105.8200000003</v>
      </c>
      <c r="E270" s="26">
        <v>2868363.08</v>
      </c>
      <c r="F270" s="26">
        <v>5023742.74</v>
      </c>
      <c r="G270" s="26">
        <v>-54358926.630000003</v>
      </c>
      <c r="H270" t="str">
        <f>_xlfn.XLOOKUP(A270,indice!A:A,indice!C:C)</f>
        <v>S</v>
      </c>
      <c r="I270" t="str">
        <f>_xlfn.XLOOKUP(A270,indice!A:A,indice!D:D)</f>
        <v>SINTETICA</v>
      </c>
    </row>
    <row r="271" spans="1:9" x14ac:dyDescent="0.25">
      <c r="A271" t="s">
        <v>600</v>
      </c>
      <c r="B271" t="s">
        <v>599</v>
      </c>
      <c r="C271" s="26">
        <v>-59382669.369999997</v>
      </c>
      <c r="D271" s="26">
        <v>7892105.8200000003</v>
      </c>
      <c r="E271" s="26">
        <v>2868363.08</v>
      </c>
      <c r="F271" s="26">
        <v>5023742.74</v>
      </c>
      <c r="G271" s="26">
        <v>-54358926.630000003</v>
      </c>
      <c r="H271">
        <f>_xlfn.XLOOKUP(A271,indice!A:A,indice!C:C)</f>
        <v>6</v>
      </c>
      <c r="I271" t="str">
        <f>_xlfn.XLOOKUP(A271,indice!A:A,indice!D:D)</f>
        <v>Adiantamentos de clientes</v>
      </c>
    </row>
    <row r="272" spans="1:9" x14ac:dyDescent="0.25">
      <c r="A272" t="s">
        <v>601</v>
      </c>
      <c r="B272" t="s">
        <v>602</v>
      </c>
      <c r="C272" s="26">
        <v>-8339191.3300000001</v>
      </c>
      <c r="D272" s="26">
        <v>0</v>
      </c>
      <c r="E272" s="26">
        <v>168114.99</v>
      </c>
      <c r="F272" s="26">
        <v>-168114.99</v>
      </c>
      <c r="G272" s="26">
        <v>-8507306.3200000003</v>
      </c>
      <c r="H272" t="str">
        <f>_xlfn.XLOOKUP(A272,indice!A:A,indice!C:C)</f>
        <v>S</v>
      </c>
      <c r="I272" t="str">
        <f>_xlfn.XLOOKUP(A272,indice!A:A,indice!D:D)</f>
        <v>SINTETICA</v>
      </c>
    </row>
    <row r="273" spans="1:9" x14ac:dyDescent="0.25">
      <c r="A273" t="s">
        <v>605</v>
      </c>
      <c r="B273" t="s">
        <v>606</v>
      </c>
      <c r="C273" s="26">
        <v>-10357553.380000001</v>
      </c>
      <c r="D273" s="26">
        <v>0</v>
      </c>
      <c r="E273" s="26">
        <v>168114.99</v>
      </c>
      <c r="F273" s="26">
        <v>-168114.99</v>
      </c>
      <c r="G273" s="26">
        <v>-10525668.369999999</v>
      </c>
      <c r="H273">
        <f>_xlfn.XLOOKUP(A273,indice!A:A,indice!C:C)</f>
        <v>7</v>
      </c>
      <c r="I273" t="str">
        <f>_xlfn.XLOOKUP(A273,indice!A:A,indice!D:D)</f>
        <v>ACL</v>
      </c>
    </row>
    <row r="274" spans="1:9" x14ac:dyDescent="0.25">
      <c r="A274" t="s">
        <v>607</v>
      </c>
      <c r="B274" t="s">
        <v>608</v>
      </c>
      <c r="C274" s="26">
        <v>2018362.05</v>
      </c>
      <c r="D274" s="26">
        <v>0</v>
      </c>
      <c r="E274" s="26">
        <v>0</v>
      </c>
      <c r="F274" s="26">
        <v>0</v>
      </c>
      <c r="G274" s="26">
        <v>2018362.05</v>
      </c>
      <c r="H274">
        <f>_xlfn.XLOOKUP(A274,indice!A:A,indice!C:C)</f>
        <v>7</v>
      </c>
      <c r="I274" t="str">
        <f>_xlfn.XLOOKUP(A274,indice!A:A,indice!D:D)</f>
        <v>Raizen</v>
      </c>
    </row>
    <row r="275" spans="1:9" x14ac:dyDescent="0.25">
      <c r="A275" t="s">
        <v>1218</v>
      </c>
      <c r="B275" t="s">
        <v>1219</v>
      </c>
      <c r="C275" s="26">
        <v>-11208030.289999999</v>
      </c>
      <c r="D275" s="26">
        <v>0</v>
      </c>
      <c r="E275" s="26">
        <v>3900000</v>
      </c>
      <c r="F275" s="26">
        <v>-3900000</v>
      </c>
      <c r="G275" s="26">
        <v>-15108030.289999999</v>
      </c>
      <c r="H275" t="str">
        <f>_xlfn.XLOOKUP(A275,indice!A:A,indice!C:C)</f>
        <v>S</v>
      </c>
      <c r="I275" t="str">
        <f>_xlfn.XLOOKUP(A275,indice!A:A,indice!D:D)</f>
        <v>SINTETICA</v>
      </c>
    </row>
    <row r="276" spans="1:9" x14ac:dyDescent="0.25">
      <c r="A276" t="s">
        <v>1220</v>
      </c>
      <c r="B276" t="s">
        <v>1219</v>
      </c>
      <c r="C276" s="26">
        <v>-11208030.289999999</v>
      </c>
      <c r="D276" s="26">
        <v>0</v>
      </c>
      <c r="E276" s="26">
        <v>3900000</v>
      </c>
      <c r="F276" s="26">
        <v>-3900000</v>
      </c>
      <c r="G276" s="26">
        <v>-15108030.289999999</v>
      </c>
      <c r="H276">
        <f>_xlfn.XLOOKUP(A276,indice!A:A,indice!C:C)</f>
        <v>24</v>
      </c>
      <c r="I276" t="str">
        <f>_xlfn.XLOOKUP(A276,indice!A:A,indice!D:D)</f>
        <v>Adiantamentos De dividendos</v>
      </c>
    </row>
    <row r="277" spans="1:9" x14ac:dyDescent="0.25">
      <c r="A277" t="s">
        <v>1107</v>
      </c>
      <c r="B277" t="s">
        <v>1108</v>
      </c>
      <c r="C277" s="26">
        <v>-633893.26</v>
      </c>
      <c r="D277" s="26">
        <v>0</v>
      </c>
      <c r="E277" s="26">
        <v>0</v>
      </c>
      <c r="F277" s="26">
        <v>0</v>
      </c>
      <c r="G277" s="26">
        <v>-633893.26</v>
      </c>
      <c r="H277" t="str">
        <f>_xlfn.XLOOKUP(A277,indice!A:A,indice!C:C)</f>
        <v>S</v>
      </c>
      <c r="I277" t="str">
        <f>_xlfn.XLOOKUP(A277,indice!A:A,indice!D:D)</f>
        <v>SINTETICA</v>
      </c>
    </row>
    <row r="278" spans="1:9" x14ac:dyDescent="0.25">
      <c r="A278" t="s">
        <v>1109</v>
      </c>
      <c r="B278" t="s">
        <v>1110</v>
      </c>
      <c r="C278" s="26">
        <v>-633893.26</v>
      </c>
      <c r="D278" s="26">
        <v>0</v>
      </c>
      <c r="E278" s="26">
        <v>0</v>
      </c>
      <c r="F278" s="26">
        <v>0</v>
      </c>
      <c r="G278" s="26">
        <v>-633893.26</v>
      </c>
      <c r="H278" t="str">
        <f>_xlfn.XLOOKUP(A278,indice!A:A,indice!C:C)</f>
        <v>S</v>
      </c>
      <c r="I278" t="str">
        <f>_xlfn.XLOOKUP(A278,indice!A:A,indice!D:D)</f>
        <v>SINTETICA</v>
      </c>
    </row>
    <row r="279" spans="1:9" x14ac:dyDescent="0.25">
      <c r="A279" t="s">
        <v>1111</v>
      </c>
      <c r="B279" t="s">
        <v>1112</v>
      </c>
      <c r="C279" s="26">
        <v>-633893.26</v>
      </c>
      <c r="D279" s="26">
        <v>0</v>
      </c>
      <c r="E279" s="26">
        <v>0</v>
      </c>
      <c r="F279" s="26">
        <v>0</v>
      </c>
      <c r="G279" s="26">
        <v>-633893.26</v>
      </c>
      <c r="H279">
        <f>_xlfn.XLOOKUP(A279,indice!A:A,indice!C:C)</f>
        <v>9</v>
      </c>
      <c r="I279" t="str">
        <f>_xlfn.XLOOKUP(A279,indice!A:A,indice!D:D)</f>
        <v>Dividendos a Distribuir Proposto</v>
      </c>
    </row>
    <row r="280" spans="1:9" x14ac:dyDescent="0.25">
      <c r="A280" t="s">
        <v>609</v>
      </c>
      <c r="B280" t="s">
        <v>610</v>
      </c>
      <c r="C280" s="26">
        <v>-147961431.31999999</v>
      </c>
      <c r="D280" s="26">
        <v>1821870.22</v>
      </c>
      <c r="E280" s="26">
        <v>201917.75</v>
      </c>
      <c r="F280" s="26">
        <v>1619952.47</v>
      </c>
      <c r="G280" s="26">
        <v>-146341478.84999999</v>
      </c>
      <c r="H280" s="14" t="str">
        <f>_xlfn.XLOOKUP(A280,indice!A:A,indice!C:C)</f>
        <v>S</v>
      </c>
      <c r="I280" s="14" t="str">
        <f>_xlfn.XLOOKUP(A280,indice!A:A,indice!D:D)</f>
        <v>SINTETICA</v>
      </c>
    </row>
    <row r="281" spans="1:9" x14ac:dyDescent="0.25">
      <c r="A281" t="s">
        <v>611</v>
      </c>
      <c r="B281" t="s">
        <v>561</v>
      </c>
      <c r="C281" s="26">
        <v>-112608379.5</v>
      </c>
      <c r="D281" s="26">
        <v>1821870.22</v>
      </c>
      <c r="E281" s="26">
        <v>201917.75</v>
      </c>
      <c r="F281" s="26">
        <v>1619952.47</v>
      </c>
      <c r="G281" s="26">
        <v>-110988427.03</v>
      </c>
      <c r="H281" t="str">
        <f>_xlfn.XLOOKUP(A281,indice!A:A,indice!C:C)</f>
        <v>S</v>
      </c>
      <c r="I281" t="str">
        <f>_xlfn.XLOOKUP(A281,indice!A:A,indice!D:D)</f>
        <v>SINTETICA</v>
      </c>
    </row>
    <row r="282" spans="1:9" x14ac:dyDescent="0.25">
      <c r="A282" t="s">
        <v>612</v>
      </c>
      <c r="B282" t="s">
        <v>479</v>
      </c>
      <c r="C282" s="26">
        <v>-12984312.17</v>
      </c>
      <c r="D282" s="26">
        <v>689783.66</v>
      </c>
      <c r="E282" s="26">
        <v>76574.67</v>
      </c>
      <c r="F282" s="26">
        <v>613208.99</v>
      </c>
      <c r="G282" s="26">
        <v>-12371103.18</v>
      </c>
      <c r="H282" t="str">
        <f>_xlfn.XLOOKUP(A282,indice!A:A,indice!C:C)</f>
        <v>S</v>
      </c>
      <c r="I282" t="str">
        <f>_xlfn.XLOOKUP(A282,indice!A:A,indice!D:D)</f>
        <v>SINTETICA</v>
      </c>
    </row>
    <row r="283" spans="1:9" x14ac:dyDescent="0.25">
      <c r="A283" t="s">
        <v>613</v>
      </c>
      <c r="B283" t="s">
        <v>614</v>
      </c>
      <c r="C283" s="26">
        <v>-3908260.68</v>
      </c>
      <c r="D283" s="26">
        <v>229383.66</v>
      </c>
      <c r="E283" s="26">
        <v>0</v>
      </c>
      <c r="F283" s="26">
        <v>229383.66</v>
      </c>
      <c r="G283" s="26">
        <v>-3678877.02</v>
      </c>
      <c r="H283">
        <f>_xlfn.XLOOKUP(A283,indice!A:A,indice!C:C)</f>
        <v>10</v>
      </c>
      <c r="I283" t="str">
        <f>_xlfn.XLOOKUP(A283,indice!A:A,indice!D:D)</f>
        <v>Empréstimos e financiamentos</v>
      </c>
    </row>
    <row r="284" spans="1:9" x14ac:dyDescent="0.25">
      <c r="A284" t="s">
        <v>1188</v>
      </c>
      <c r="B284" t="s">
        <v>1185</v>
      </c>
      <c r="C284" s="26">
        <v>-10437600</v>
      </c>
      <c r="D284" s="26">
        <v>460400</v>
      </c>
      <c r="E284" s="26">
        <v>0</v>
      </c>
      <c r="F284" s="26">
        <v>460400</v>
      </c>
      <c r="G284" s="26">
        <v>-9977200</v>
      </c>
      <c r="H284">
        <f>_xlfn.XLOOKUP(A284,indice!A:A,indice!C:C)</f>
        <v>10</v>
      </c>
      <c r="I284" t="str">
        <f>_xlfn.XLOOKUP(A284,indice!A:A,indice!D:D)</f>
        <v>Empréstimos e financiamentos</v>
      </c>
    </row>
    <row r="285" spans="1:9" x14ac:dyDescent="0.25">
      <c r="A285" t="s">
        <v>615</v>
      </c>
      <c r="B285" t="s">
        <v>483</v>
      </c>
      <c r="C285" s="26">
        <v>1361548.51</v>
      </c>
      <c r="D285" s="26">
        <v>0</v>
      </c>
      <c r="E285" s="26">
        <v>76574.67</v>
      </c>
      <c r="F285" s="26">
        <v>-76574.67</v>
      </c>
      <c r="G285" s="26">
        <v>1284973.8400000001</v>
      </c>
      <c r="H285">
        <f>_xlfn.XLOOKUP(A285,indice!A:A,indice!C:C)</f>
        <v>10</v>
      </c>
      <c r="I285" t="str">
        <f>_xlfn.XLOOKUP(A285,indice!A:A,indice!D:D)</f>
        <v>Empréstimos e financiamentos</v>
      </c>
    </row>
    <row r="286" spans="1:9" x14ac:dyDescent="0.25">
      <c r="A286" t="s">
        <v>616</v>
      </c>
      <c r="B286" t="s">
        <v>569</v>
      </c>
      <c r="C286" s="26">
        <v>-86404950.620000005</v>
      </c>
      <c r="D286" s="26">
        <v>1132086.56</v>
      </c>
      <c r="E286" s="26">
        <v>125343.08</v>
      </c>
      <c r="F286" s="26">
        <v>1006743.48</v>
      </c>
      <c r="G286" s="26">
        <v>-85398207.140000001</v>
      </c>
      <c r="H286" t="str">
        <f>_xlfn.XLOOKUP(A286,indice!A:A,indice!C:C)</f>
        <v>S</v>
      </c>
      <c r="I286" t="str">
        <f>_xlfn.XLOOKUP(A286,indice!A:A,indice!D:D)</f>
        <v>SINTETICA</v>
      </c>
    </row>
    <row r="287" spans="1:9" x14ac:dyDescent="0.25">
      <c r="A287" t="s">
        <v>617</v>
      </c>
      <c r="B287" t="s">
        <v>618</v>
      </c>
      <c r="C287" s="26">
        <v>-735296.55</v>
      </c>
      <c r="D287" s="26">
        <v>0</v>
      </c>
      <c r="E287" s="26">
        <v>0</v>
      </c>
      <c r="F287" s="26">
        <v>0</v>
      </c>
      <c r="G287" s="26">
        <v>-735296.55</v>
      </c>
      <c r="H287">
        <f>_xlfn.XLOOKUP(A287,indice!A:A,indice!C:C)</f>
        <v>13</v>
      </c>
      <c r="I287" t="str">
        <f>_xlfn.XLOOKUP(A287,indice!A:A,indice!D:D)</f>
        <v>Parcelamento fiscais</v>
      </c>
    </row>
    <row r="288" spans="1:9" x14ac:dyDescent="0.25">
      <c r="A288" t="s">
        <v>619</v>
      </c>
      <c r="B288" t="s">
        <v>620</v>
      </c>
      <c r="C288" s="26">
        <v>-27368.71</v>
      </c>
      <c r="D288" s="26">
        <v>1770.28</v>
      </c>
      <c r="E288" s="26">
        <v>0</v>
      </c>
      <c r="F288" s="26">
        <v>1770.28</v>
      </c>
      <c r="G288" s="26">
        <v>-25598.43</v>
      </c>
      <c r="H288">
        <f>_xlfn.XLOOKUP(A288,indice!A:A,indice!C:C)</f>
        <v>13</v>
      </c>
      <c r="I288" t="str">
        <f>_xlfn.XLOOKUP(A288,indice!A:A,indice!D:D)</f>
        <v>Parcelamento fiscais</v>
      </c>
    </row>
    <row r="289" spans="1:9" x14ac:dyDescent="0.25">
      <c r="A289" t="s">
        <v>621</v>
      </c>
      <c r="B289" t="s">
        <v>622</v>
      </c>
      <c r="C289" s="26">
        <v>-221969.8</v>
      </c>
      <c r="D289" s="26">
        <v>11098.49</v>
      </c>
      <c r="E289" s="26">
        <v>0</v>
      </c>
      <c r="F289" s="26">
        <v>11098.49</v>
      </c>
      <c r="G289" s="26">
        <v>-210871.31</v>
      </c>
      <c r="H289">
        <f>_xlfn.XLOOKUP(A289,indice!A:A,indice!C:C)</f>
        <v>13</v>
      </c>
      <c r="I289" t="str">
        <f>_xlfn.XLOOKUP(A289,indice!A:A,indice!D:D)</f>
        <v>Parcelamento fiscais</v>
      </c>
    </row>
    <row r="290" spans="1:9" x14ac:dyDescent="0.25">
      <c r="A290" t="s">
        <v>623</v>
      </c>
      <c r="B290" t="s">
        <v>579</v>
      </c>
      <c r="C290" s="26">
        <v>-1951772.03</v>
      </c>
      <c r="D290" s="26">
        <v>48937.3</v>
      </c>
      <c r="E290" s="26">
        <v>0</v>
      </c>
      <c r="F290" s="26">
        <v>48937.3</v>
      </c>
      <c r="G290" s="26">
        <v>-1902834.73</v>
      </c>
      <c r="H290">
        <f>_xlfn.XLOOKUP(A290,indice!A:A,indice!C:C)</f>
        <v>13</v>
      </c>
      <c r="I290" t="str">
        <f>_xlfn.XLOOKUP(A290,indice!A:A,indice!D:D)</f>
        <v>Parcelamento fiscais</v>
      </c>
    </row>
    <row r="291" spans="1:9" x14ac:dyDescent="0.25">
      <c r="A291" t="s">
        <v>624</v>
      </c>
      <c r="B291" t="s">
        <v>581</v>
      </c>
      <c r="C291" s="26">
        <v>-7320.12</v>
      </c>
      <c r="D291" s="26">
        <v>3129.7</v>
      </c>
      <c r="E291" s="26">
        <v>0</v>
      </c>
      <c r="F291" s="26">
        <v>3129.7</v>
      </c>
      <c r="G291" s="26">
        <v>-4190.42</v>
      </c>
      <c r="H291">
        <f>_xlfn.XLOOKUP(A291,indice!A:A,indice!C:C)</f>
        <v>13</v>
      </c>
      <c r="I291" t="str">
        <f>_xlfn.XLOOKUP(A291,indice!A:A,indice!D:D)</f>
        <v>Parcelamento fiscais</v>
      </c>
    </row>
    <row r="292" spans="1:9" x14ac:dyDescent="0.25">
      <c r="A292" t="s">
        <v>625</v>
      </c>
      <c r="B292" t="s">
        <v>583</v>
      </c>
      <c r="C292" s="26">
        <v>-22739855.219999999</v>
      </c>
      <c r="D292" s="26">
        <v>658334.99</v>
      </c>
      <c r="E292" s="26">
        <v>0</v>
      </c>
      <c r="F292" s="26">
        <v>658334.99</v>
      </c>
      <c r="G292" s="26">
        <v>-22081520.23</v>
      </c>
      <c r="H292">
        <f>_xlfn.XLOOKUP(A292,indice!A:A,indice!C:C)</f>
        <v>13</v>
      </c>
      <c r="I292" t="str">
        <f>_xlfn.XLOOKUP(A292,indice!A:A,indice!D:D)</f>
        <v>Parcelamento fiscais</v>
      </c>
    </row>
    <row r="293" spans="1:9" x14ac:dyDescent="0.25">
      <c r="A293" t="s">
        <v>626</v>
      </c>
      <c r="B293" t="s">
        <v>585</v>
      </c>
      <c r="C293" s="26">
        <v>-55109174.960000001</v>
      </c>
      <c r="D293" s="26">
        <v>291276.53999999998</v>
      </c>
      <c r="E293" s="26">
        <v>0</v>
      </c>
      <c r="F293" s="26">
        <v>291276.53999999998</v>
      </c>
      <c r="G293" s="26">
        <v>-54817898.420000002</v>
      </c>
      <c r="H293">
        <f>_xlfn.XLOOKUP(A293,indice!A:A,indice!C:C)</f>
        <v>13</v>
      </c>
      <c r="I293" t="str">
        <f>_xlfn.XLOOKUP(A293,indice!A:A,indice!D:D)</f>
        <v>Parcelamento fiscais</v>
      </c>
    </row>
    <row r="294" spans="1:9" x14ac:dyDescent="0.25">
      <c r="A294" t="s">
        <v>627</v>
      </c>
      <c r="B294" t="s">
        <v>591</v>
      </c>
      <c r="C294" s="26">
        <v>-148134.16</v>
      </c>
      <c r="D294" s="26">
        <v>1472.88</v>
      </c>
      <c r="E294" s="26">
        <v>0</v>
      </c>
      <c r="F294" s="26">
        <v>1472.88</v>
      </c>
      <c r="G294" s="26">
        <v>-146661.28</v>
      </c>
      <c r="H294" s="14">
        <f>_xlfn.XLOOKUP(A294,indice!A:A,indice!C:C)</f>
        <v>13</v>
      </c>
      <c r="I294" s="14" t="str">
        <f>_xlfn.XLOOKUP(A294,indice!A:A,indice!D:D)</f>
        <v>Parcelamento fiscais</v>
      </c>
    </row>
    <row r="295" spans="1:9" x14ac:dyDescent="0.25">
      <c r="A295" t="s">
        <v>628</v>
      </c>
      <c r="B295" t="s">
        <v>593</v>
      </c>
      <c r="C295" s="26">
        <v>-2428838.21</v>
      </c>
      <c r="D295" s="26">
        <v>59197.67</v>
      </c>
      <c r="E295" s="26">
        <v>0</v>
      </c>
      <c r="F295" s="26">
        <v>59197.67</v>
      </c>
      <c r="G295" s="26">
        <v>-2369640.54</v>
      </c>
      <c r="H295" s="14">
        <f>_xlfn.XLOOKUP(A295,indice!A:A,indice!C:C)</f>
        <v>13</v>
      </c>
      <c r="I295" s="14" t="str">
        <f>_xlfn.XLOOKUP(A295,indice!A:A,indice!D:D)</f>
        <v>Parcelamento fiscais</v>
      </c>
    </row>
    <row r="296" spans="1:9" x14ac:dyDescent="0.25">
      <c r="A296" t="s">
        <v>1047</v>
      </c>
      <c r="B296" t="s">
        <v>595</v>
      </c>
      <c r="C296" s="26">
        <v>-140065.53</v>
      </c>
      <c r="D296" s="26">
        <v>4079.68</v>
      </c>
      <c r="E296" s="26">
        <v>626.72</v>
      </c>
      <c r="F296" s="26">
        <v>3452.96</v>
      </c>
      <c r="G296" s="26">
        <v>-136612.57</v>
      </c>
      <c r="H296">
        <f>_xlfn.XLOOKUP(A296,indice!A:A,indice!C:C)</f>
        <v>13</v>
      </c>
      <c r="I296" t="str">
        <f>_xlfn.XLOOKUP(A296,indice!A:A,indice!D:D)</f>
        <v>Parcelamento fiscais</v>
      </c>
    </row>
    <row r="297" spans="1:9" x14ac:dyDescent="0.25">
      <c r="A297" t="s">
        <v>629</v>
      </c>
      <c r="B297" t="s">
        <v>597</v>
      </c>
      <c r="C297" s="26">
        <v>-1510028.51</v>
      </c>
      <c r="D297" s="26">
        <v>1706.71</v>
      </c>
      <c r="E297" s="26">
        <v>0</v>
      </c>
      <c r="F297" s="26">
        <v>1706.71</v>
      </c>
      <c r="G297" s="26">
        <v>-1508321.8</v>
      </c>
      <c r="H297">
        <f>_xlfn.XLOOKUP(A297,indice!A:A,indice!C:C)</f>
        <v>13</v>
      </c>
      <c r="I297" t="str">
        <f>_xlfn.XLOOKUP(A297,indice!A:A,indice!D:D)</f>
        <v>Parcelamento fiscais</v>
      </c>
    </row>
    <row r="298" spans="1:9" x14ac:dyDescent="0.25">
      <c r="A298" t="s">
        <v>1152</v>
      </c>
      <c r="B298" t="s">
        <v>1151</v>
      </c>
      <c r="C298" s="26">
        <v>-1385126.82</v>
      </c>
      <c r="D298" s="26">
        <v>42851.07</v>
      </c>
      <c r="E298" s="26">
        <v>0</v>
      </c>
      <c r="F298" s="26">
        <v>42851.07</v>
      </c>
      <c r="G298" s="26">
        <v>-1342275.75</v>
      </c>
      <c r="H298">
        <f>_xlfn.XLOOKUP(A298,indice!A:A,indice!C:C)</f>
        <v>13</v>
      </c>
      <c r="I298" t="str">
        <f>_xlfn.XLOOKUP(A298,indice!A:A,indice!D:D)</f>
        <v>Parcelamento fiscais</v>
      </c>
    </row>
    <row r="299" spans="1:9" x14ac:dyDescent="0.25">
      <c r="A299" t="s">
        <v>1237</v>
      </c>
      <c r="B299" t="s">
        <v>1234</v>
      </c>
      <c r="C299" s="26">
        <v>0</v>
      </c>
      <c r="D299" s="26">
        <v>8231.25</v>
      </c>
      <c r="E299" s="26">
        <v>124716.36</v>
      </c>
      <c r="F299" s="26">
        <v>-116485.11</v>
      </c>
      <c r="G299" s="26">
        <v>-116485.11</v>
      </c>
      <c r="H299">
        <f>_xlfn.XLOOKUP(A299,indice!A:A,indice!C:C)</f>
        <v>13</v>
      </c>
      <c r="I299" t="str">
        <f>_xlfn.XLOOKUP(A299,indice!A:A,indice!D:D)</f>
        <v>Parcelamento fiscais</v>
      </c>
    </row>
    <row r="300" spans="1:9" x14ac:dyDescent="0.25">
      <c r="A300" t="s">
        <v>1084</v>
      </c>
      <c r="B300" t="s">
        <v>1085</v>
      </c>
      <c r="C300" s="26">
        <v>-366033.84</v>
      </c>
      <c r="D300" s="26">
        <v>0</v>
      </c>
      <c r="E300" s="26">
        <v>0</v>
      </c>
      <c r="F300" s="26">
        <v>0</v>
      </c>
      <c r="G300" s="26">
        <v>-366033.84</v>
      </c>
      <c r="H300" t="str">
        <f>_xlfn.XLOOKUP(A300,indice!A:A,indice!C:C)</f>
        <v>S</v>
      </c>
      <c r="I300" t="str">
        <f>_xlfn.XLOOKUP(A300,indice!A:A,indice!D:D)</f>
        <v>SINTETICA</v>
      </c>
    </row>
    <row r="301" spans="1:9" x14ac:dyDescent="0.25">
      <c r="A301" t="s">
        <v>1086</v>
      </c>
      <c r="B301" t="s">
        <v>1087</v>
      </c>
      <c r="C301" s="26">
        <v>-366033.84</v>
      </c>
      <c r="D301" s="26">
        <v>0</v>
      </c>
      <c r="E301" s="26">
        <v>0</v>
      </c>
      <c r="F301" s="26">
        <v>0</v>
      </c>
      <c r="G301" s="26">
        <v>-366033.84</v>
      </c>
      <c r="H301">
        <f>_xlfn.XLOOKUP(A301,indice!A:A,indice!C:C)</f>
        <v>24</v>
      </c>
      <c r="I301" t="str">
        <f>_xlfn.XLOOKUP(A301,indice!A:A,indice!D:D)</f>
        <v>Provisão Para Perdas</v>
      </c>
    </row>
    <row r="302" spans="1:9" x14ac:dyDescent="0.25">
      <c r="A302" t="s">
        <v>1068</v>
      </c>
      <c r="B302" t="s">
        <v>1069</v>
      </c>
      <c r="C302" s="26">
        <v>-12853082.869999999</v>
      </c>
      <c r="D302" s="26">
        <v>0</v>
      </c>
      <c r="E302" s="26">
        <v>0</v>
      </c>
      <c r="F302" s="26">
        <v>0</v>
      </c>
      <c r="G302" s="26">
        <v>-12853082.869999999</v>
      </c>
      <c r="H302" t="str">
        <f>_xlfn.XLOOKUP(A302,indice!A:A,indice!C:C)</f>
        <v>S</v>
      </c>
      <c r="I302" t="str">
        <f>_xlfn.XLOOKUP(A302,indice!A:A,indice!D:D)</f>
        <v>SINTETICA</v>
      </c>
    </row>
    <row r="303" spans="1:9" x14ac:dyDescent="0.25">
      <c r="A303" t="s">
        <v>1070</v>
      </c>
      <c r="B303" t="s">
        <v>503</v>
      </c>
      <c r="C303" s="26">
        <v>-12853082.869999999</v>
      </c>
      <c r="D303" s="26">
        <v>0</v>
      </c>
      <c r="E303" s="26">
        <v>0</v>
      </c>
      <c r="F303" s="26">
        <v>0</v>
      </c>
      <c r="G303" s="26">
        <v>-12853082.869999999</v>
      </c>
      <c r="H303">
        <f>_xlfn.XLOOKUP(A303,indice!A:A,indice!C:C)</f>
        <v>17</v>
      </c>
      <c r="I303" t="str">
        <f>_xlfn.XLOOKUP(A303,indice!A:A,indice!D:D)</f>
        <v>Encargos tributários</v>
      </c>
    </row>
    <row r="304" spans="1:9" x14ac:dyDescent="0.25">
      <c r="A304" t="s">
        <v>637</v>
      </c>
      <c r="B304" t="s">
        <v>638</v>
      </c>
      <c r="C304" s="26">
        <v>-35353051.82</v>
      </c>
      <c r="D304" s="26">
        <v>0</v>
      </c>
      <c r="E304" s="26">
        <v>0</v>
      </c>
      <c r="F304" s="26">
        <v>0</v>
      </c>
      <c r="G304" s="26">
        <v>-35353051.82</v>
      </c>
      <c r="H304" t="str">
        <f>_xlfn.XLOOKUP(A304,indice!A:A,indice!C:C)</f>
        <v>S</v>
      </c>
      <c r="I304" t="str">
        <f>_xlfn.XLOOKUP(A304,indice!A:A,indice!D:D)</f>
        <v>SINTETICA</v>
      </c>
    </row>
    <row r="305" spans="1:9" x14ac:dyDescent="0.25">
      <c r="A305" t="s">
        <v>639</v>
      </c>
      <c r="B305" t="s">
        <v>640</v>
      </c>
      <c r="C305" s="26">
        <v>-13565798.57</v>
      </c>
      <c r="D305" s="26">
        <v>0</v>
      </c>
      <c r="E305" s="26">
        <v>0</v>
      </c>
      <c r="F305" s="26">
        <v>0</v>
      </c>
      <c r="G305" s="26">
        <v>-13565798.57</v>
      </c>
      <c r="H305" t="str">
        <f>_xlfn.XLOOKUP(A305,indice!A:A,indice!C:C)</f>
        <v>S</v>
      </c>
      <c r="I305" t="str">
        <f>_xlfn.XLOOKUP(A305,indice!A:A,indice!D:D)</f>
        <v>SINTETICA</v>
      </c>
    </row>
    <row r="306" spans="1:9" x14ac:dyDescent="0.25">
      <c r="A306" t="s">
        <v>641</v>
      </c>
      <c r="B306" t="s">
        <v>640</v>
      </c>
      <c r="C306" s="26">
        <v>-13565798.57</v>
      </c>
      <c r="D306" s="26">
        <v>0</v>
      </c>
      <c r="E306" s="26">
        <v>0</v>
      </c>
      <c r="F306" s="26">
        <v>0</v>
      </c>
      <c r="G306" s="26">
        <v>-13565798.57</v>
      </c>
      <c r="H306">
        <f>_xlfn.XLOOKUP(A306,indice!A:A,indice!C:C)</f>
        <v>19</v>
      </c>
      <c r="I306" t="str">
        <f>_xlfn.XLOOKUP(A306,indice!A:A,indice!D:D)</f>
        <v>Credores recuperação judicial</v>
      </c>
    </row>
    <row r="307" spans="1:9" x14ac:dyDescent="0.25">
      <c r="A307" t="s">
        <v>645</v>
      </c>
      <c r="B307" t="s">
        <v>646</v>
      </c>
      <c r="C307" s="26">
        <v>-21389958.920000002</v>
      </c>
      <c r="D307" s="26">
        <v>0</v>
      </c>
      <c r="E307" s="26">
        <v>0</v>
      </c>
      <c r="F307" s="26">
        <v>0</v>
      </c>
      <c r="G307" s="26">
        <v>-21389958.920000002</v>
      </c>
      <c r="H307" t="str">
        <f>_xlfn.XLOOKUP(A307,indice!A:A,indice!C:C)</f>
        <v>S</v>
      </c>
      <c r="I307" t="str">
        <f>_xlfn.XLOOKUP(A307,indice!A:A,indice!D:D)</f>
        <v>SINTETICA</v>
      </c>
    </row>
    <row r="308" spans="1:9" x14ac:dyDescent="0.25">
      <c r="A308" t="s">
        <v>647</v>
      </c>
      <c r="B308" t="s">
        <v>646</v>
      </c>
      <c r="C308" s="26">
        <v>-21389958.920000002</v>
      </c>
      <c r="D308" s="26">
        <v>0</v>
      </c>
      <c r="E308" s="26">
        <v>0</v>
      </c>
      <c r="F308" s="26">
        <v>0</v>
      </c>
      <c r="G308" s="26">
        <v>-21389958.920000002</v>
      </c>
      <c r="H308">
        <f>_xlfn.XLOOKUP(A308,indice!A:A,indice!C:C)</f>
        <v>19</v>
      </c>
      <c r="I308" t="str">
        <f>_xlfn.XLOOKUP(A308,indice!A:A,indice!D:D)</f>
        <v>Credores recuperação judicial</v>
      </c>
    </row>
    <row r="309" spans="1:9" x14ac:dyDescent="0.25">
      <c r="A309" t="s">
        <v>648</v>
      </c>
      <c r="B309" t="s">
        <v>649</v>
      </c>
      <c r="C309" s="26">
        <v>-397294.33</v>
      </c>
      <c r="D309" s="26">
        <v>0</v>
      </c>
      <c r="E309" s="26">
        <v>0</v>
      </c>
      <c r="F309" s="26">
        <v>0</v>
      </c>
      <c r="G309" s="26">
        <v>-397294.33</v>
      </c>
      <c r="H309" t="str">
        <f>_xlfn.XLOOKUP(A309,indice!A:A,indice!C:C)</f>
        <v>S</v>
      </c>
      <c r="I309" t="str">
        <f>_xlfn.XLOOKUP(A309,indice!A:A,indice!D:D)</f>
        <v>SINTETICA</v>
      </c>
    </row>
    <row r="310" spans="1:9" x14ac:dyDescent="0.25">
      <c r="A310" t="s">
        <v>650</v>
      </c>
      <c r="B310" t="s">
        <v>651</v>
      </c>
      <c r="C310" s="26">
        <v>-397294.33</v>
      </c>
      <c r="D310" s="26">
        <v>0</v>
      </c>
      <c r="E310" s="26">
        <v>0</v>
      </c>
      <c r="F310" s="26">
        <v>0</v>
      </c>
      <c r="G310" s="26">
        <v>-397294.33</v>
      </c>
      <c r="H310">
        <f>_xlfn.XLOOKUP(A310,indice!A:A,indice!C:C)</f>
        <v>19</v>
      </c>
      <c r="I310" t="str">
        <f>_xlfn.XLOOKUP(A310,indice!A:A,indice!D:D)</f>
        <v>Credores recuperação judicial</v>
      </c>
    </row>
    <row r="311" spans="1:9" x14ac:dyDescent="0.25">
      <c r="A311" t="s">
        <v>652</v>
      </c>
      <c r="B311" t="s">
        <v>653</v>
      </c>
      <c r="C311" s="26">
        <v>-12176329.32</v>
      </c>
      <c r="D311" s="26">
        <v>0</v>
      </c>
      <c r="E311" s="26">
        <v>0</v>
      </c>
      <c r="F311" s="26">
        <v>0</v>
      </c>
      <c r="G311" s="26">
        <v>-12176329.32</v>
      </c>
      <c r="H311" t="str">
        <f>_xlfn.XLOOKUP(A311,indice!A:A,indice!C:C)</f>
        <v>S</v>
      </c>
      <c r="I311" t="str">
        <f>_xlfn.XLOOKUP(A311,indice!A:A,indice!D:D)</f>
        <v>SINTETICAA</v>
      </c>
    </row>
    <row r="312" spans="1:9" x14ac:dyDescent="0.25">
      <c r="A312" t="s">
        <v>654</v>
      </c>
      <c r="B312" t="s">
        <v>653</v>
      </c>
      <c r="C312" s="26">
        <v>-12176329.32</v>
      </c>
      <c r="D312" s="26">
        <v>0</v>
      </c>
      <c r="E312" s="26">
        <v>0</v>
      </c>
      <c r="F312" s="26">
        <v>0</v>
      </c>
      <c r="G312" s="26">
        <v>-12176329.32</v>
      </c>
      <c r="H312" t="str">
        <f>_xlfn.XLOOKUP(A312,indice!A:A,indice!C:C)</f>
        <v>S</v>
      </c>
      <c r="I312" t="str">
        <f>_xlfn.XLOOKUP(A312,indice!A:A,indice!D:D)</f>
        <v>SINTETICA</v>
      </c>
    </row>
    <row r="313" spans="1:9" x14ac:dyDescent="0.25">
      <c r="A313" t="s">
        <v>655</v>
      </c>
      <c r="B313" t="s">
        <v>656</v>
      </c>
      <c r="C313" s="26">
        <v>-58212262.359999999</v>
      </c>
      <c r="D313" s="26">
        <v>0</v>
      </c>
      <c r="E313" s="26">
        <v>0</v>
      </c>
      <c r="F313" s="26">
        <v>0</v>
      </c>
      <c r="G313" s="26">
        <v>-58212262.359999999</v>
      </c>
      <c r="H313" t="str">
        <f>_xlfn.XLOOKUP(A313,indice!A:A,indice!C:C)</f>
        <v>S</v>
      </c>
      <c r="I313" t="str">
        <f>_xlfn.XLOOKUP(A313,indice!A:A,indice!D:D)</f>
        <v>SINTETICA</v>
      </c>
    </row>
    <row r="314" spans="1:9" x14ac:dyDescent="0.25">
      <c r="A314" t="s">
        <v>657</v>
      </c>
      <c r="B314" t="s">
        <v>658</v>
      </c>
      <c r="C314" s="26">
        <v>-58212262.359999999</v>
      </c>
      <c r="D314" s="26">
        <v>0</v>
      </c>
      <c r="E314" s="26">
        <v>0</v>
      </c>
      <c r="F314" s="26">
        <v>0</v>
      </c>
      <c r="G314" s="31">
        <v>-58212262.359999999</v>
      </c>
      <c r="H314">
        <f>_xlfn.XLOOKUP(A314,indice!A:A,indice!C:C)</f>
        <v>21</v>
      </c>
      <c r="I314" t="str">
        <f>_xlfn.XLOOKUP(A314,indice!A:A,indice!D:D)</f>
        <v>Capital social</v>
      </c>
    </row>
    <row r="315" spans="1:9" x14ac:dyDescent="0.25">
      <c r="A315" t="s">
        <v>659</v>
      </c>
      <c r="B315" t="s">
        <v>660</v>
      </c>
      <c r="C315" s="26">
        <v>-21011584.32</v>
      </c>
      <c r="D315" s="26">
        <v>0</v>
      </c>
      <c r="E315" s="26">
        <v>0</v>
      </c>
      <c r="F315" s="26">
        <v>0</v>
      </c>
      <c r="G315" s="26">
        <v>-21011584.32</v>
      </c>
      <c r="H315" t="str">
        <f>_xlfn.XLOOKUP(A315,indice!A:A,indice!C:C)</f>
        <v>S</v>
      </c>
      <c r="I315" t="str">
        <f>_xlfn.XLOOKUP(A315,indice!A:A,indice!D:D)</f>
        <v>SINTETICA</v>
      </c>
    </row>
    <row r="316" spans="1:9" x14ac:dyDescent="0.25">
      <c r="A316" t="s">
        <v>661</v>
      </c>
      <c r="B316" t="s">
        <v>662</v>
      </c>
      <c r="C316" s="26">
        <v>-133451.21</v>
      </c>
      <c r="D316" s="26">
        <v>0</v>
      </c>
      <c r="E316" s="26">
        <v>0</v>
      </c>
      <c r="F316" s="26">
        <v>0</v>
      </c>
      <c r="G316" s="26">
        <v>-133451.21</v>
      </c>
      <c r="H316">
        <f>_xlfn.XLOOKUP(A316,indice!A:A,indice!C:C)</f>
        <v>22</v>
      </c>
      <c r="I316" t="str">
        <f>_xlfn.XLOOKUP(A316,indice!A:A,indice!D:D)</f>
        <v>Reservas</v>
      </c>
    </row>
    <row r="317" spans="1:9" x14ac:dyDescent="0.25">
      <c r="A317" t="s">
        <v>663</v>
      </c>
      <c r="B317" t="s">
        <v>664</v>
      </c>
      <c r="C317" s="26">
        <v>-5280169.24</v>
      </c>
      <c r="D317" s="26">
        <v>0</v>
      </c>
      <c r="E317" s="26">
        <v>0</v>
      </c>
      <c r="F317" s="26">
        <v>0</v>
      </c>
      <c r="G317" s="26">
        <v>-5280169.24</v>
      </c>
      <c r="H317">
        <f>_xlfn.XLOOKUP(A317,indice!A:A,indice!C:C)</f>
        <v>22</v>
      </c>
      <c r="I317" t="str">
        <f>_xlfn.XLOOKUP(A317,indice!A:A,indice!D:D)</f>
        <v>Reservas</v>
      </c>
    </row>
    <row r="318" spans="1:9" x14ac:dyDescent="0.25">
      <c r="A318" t="s">
        <v>665</v>
      </c>
      <c r="B318" t="s">
        <v>666</v>
      </c>
      <c r="C318" s="26">
        <v>-1909311.44</v>
      </c>
      <c r="D318" s="26">
        <v>0</v>
      </c>
      <c r="E318" s="26">
        <v>0</v>
      </c>
      <c r="F318" s="26">
        <v>0</v>
      </c>
      <c r="G318" s="26">
        <v>-1909311.44</v>
      </c>
      <c r="H318">
        <f>_xlfn.XLOOKUP(A318,indice!A:A,indice!C:C)</f>
        <v>22</v>
      </c>
      <c r="I318" t="str">
        <f>_xlfn.XLOOKUP(A318,indice!A:A,indice!D:D)</f>
        <v>Reservas</v>
      </c>
    </row>
    <row r="319" spans="1:9" x14ac:dyDescent="0.25">
      <c r="A319" t="s">
        <v>1113</v>
      </c>
      <c r="B319" t="s">
        <v>1114</v>
      </c>
      <c r="C319" s="26">
        <v>-13688652.43</v>
      </c>
      <c r="D319" s="26">
        <v>0</v>
      </c>
      <c r="E319" s="26">
        <v>0</v>
      </c>
      <c r="F319" s="26">
        <v>0</v>
      </c>
      <c r="G319" s="26">
        <v>-13688652.43</v>
      </c>
      <c r="H319">
        <f>_xlfn.XLOOKUP(A319,indice!A:A,indice!C:C)</f>
        <v>22</v>
      </c>
      <c r="I319" t="str">
        <f>_xlfn.XLOOKUP(A319,indice!A:A,indice!D:D)</f>
        <v>Reservas</v>
      </c>
    </row>
    <row r="320" spans="1:9" x14ac:dyDescent="0.25">
      <c r="A320" t="s">
        <v>1093</v>
      </c>
      <c r="B320" t="s">
        <v>1221</v>
      </c>
      <c r="C320" s="26">
        <v>67047517.359999999</v>
      </c>
      <c r="D320" s="26">
        <v>0</v>
      </c>
      <c r="E320" s="26">
        <v>0</v>
      </c>
      <c r="F320" s="26">
        <v>0</v>
      </c>
      <c r="G320" s="26">
        <v>67047517.359999999</v>
      </c>
      <c r="H320" t="str">
        <f>_xlfn.XLOOKUP(A320,indice!A:A,indice!C:C)</f>
        <v>S</v>
      </c>
      <c r="I320" t="str">
        <f>_xlfn.XLOOKUP(A320,indice!A:A,indice!D:D)</f>
        <v>SINTETICA</v>
      </c>
    </row>
    <row r="321" spans="1:9" x14ac:dyDescent="0.25">
      <c r="A321" t="s">
        <v>1222</v>
      </c>
      <c r="B321" t="s">
        <v>1223</v>
      </c>
      <c r="C321" s="26">
        <v>67047517.359999999</v>
      </c>
      <c r="D321" s="26">
        <v>0</v>
      </c>
      <c r="E321" s="26">
        <v>0</v>
      </c>
      <c r="F321" s="26">
        <v>0</v>
      </c>
      <c r="G321" s="26">
        <v>67047517.359999999</v>
      </c>
      <c r="H321">
        <f>_xlfn.XLOOKUP(A321,indice!A:A,indice!C:C)</f>
        <v>23</v>
      </c>
      <c r="I321" t="str">
        <f>_xlfn.XLOOKUP(A321,indice!A:A,indice!D:D)</f>
        <v>Lucros/Prejuizos acumulados</v>
      </c>
    </row>
    <row r="322" spans="1:9" x14ac:dyDescent="0.25">
      <c r="A322" t="s">
        <v>667</v>
      </c>
      <c r="B322" t="s">
        <v>668</v>
      </c>
      <c r="C322" s="26">
        <v>25301530.640000001</v>
      </c>
      <c r="D322" s="26">
        <v>20898594.43</v>
      </c>
      <c r="E322" s="26">
        <v>18385215.739999998</v>
      </c>
      <c r="F322" s="26">
        <v>2513378.69</v>
      </c>
      <c r="G322" s="26">
        <v>27814909.329999998</v>
      </c>
      <c r="H322">
        <f>_xlfn.XLOOKUP(A322,indice!A:A,indice!C:C)</f>
        <v>23</v>
      </c>
      <c r="I322" t="str">
        <f>_xlfn.XLOOKUP(A322,indice!A:A,indice!D:D)</f>
        <v>Resultado do exercício</v>
      </c>
    </row>
    <row r="323" spans="1:9" x14ac:dyDescent="0.25">
      <c r="A323" t="s">
        <v>669</v>
      </c>
      <c r="B323" t="s">
        <v>670</v>
      </c>
      <c r="C323" s="26">
        <v>-58132400.060000002</v>
      </c>
      <c r="D323" s="26">
        <v>60797.279999999999</v>
      </c>
      <c r="E323" s="26">
        <v>8711180.6400000006</v>
      </c>
      <c r="F323" s="26">
        <v>-8650383.3599999994</v>
      </c>
      <c r="G323" s="26">
        <v>-66782783.420000002</v>
      </c>
      <c r="H323" t="str">
        <f>_xlfn.XLOOKUP(A323,indice!A:A,indice!C:C)</f>
        <v>N</v>
      </c>
      <c r="I323" t="str">
        <f>_xlfn.XLOOKUP(A323,indice!A:A,indice!D:D)</f>
        <v>NÃO UTILIZAR</v>
      </c>
    </row>
    <row r="324" spans="1:9" x14ac:dyDescent="0.25">
      <c r="A324" t="s">
        <v>671</v>
      </c>
      <c r="B324" t="s">
        <v>672</v>
      </c>
      <c r="C324" s="26">
        <v>-58132400.060000002</v>
      </c>
      <c r="D324" s="26">
        <v>60797.279999999999</v>
      </c>
      <c r="E324" s="26">
        <v>8711180.6400000006</v>
      </c>
      <c r="F324" s="26">
        <v>-8650383.3599999994</v>
      </c>
      <c r="G324" s="26">
        <v>-66782783.420000002</v>
      </c>
      <c r="H324" t="str">
        <f>_xlfn.XLOOKUP(A324,indice!A:A,indice!C:C)</f>
        <v>N</v>
      </c>
      <c r="I324" t="str">
        <f>_xlfn.XLOOKUP(A324,indice!A:A,indice!D:D)</f>
        <v>NÃO UTILIZAR</v>
      </c>
    </row>
    <row r="325" spans="1:9" x14ac:dyDescent="0.25">
      <c r="A325" t="s">
        <v>673</v>
      </c>
      <c r="B325" t="s">
        <v>674</v>
      </c>
      <c r="C325" s="26">
        <v>-25540960.82</v>
      </c>
      <c r="D325" s="26">
        <v>0</v>
      </c>
      <c r="E325" s="26">
        <v>0</v>
      </c>
      <c r="F325" s="26">
        <v>0</v>
      </c>
      <c r="G325" s="26">
        <v>-25540960.82</v>
      </c>
      <c r="H325" t="str">
        <f>_xlfn.XLOOKUP(A325,indice!A:A,indice!C:C)</f>
        <v>N</v>
      </c>
      <c r="I325" t="str">
        <f>_xlfn.XLOOKUP(A325,indice!A:A,indice!D:D)</f>
        <v>NÃO UTILIZAR</v>
      </c>
    </row>
    <row r="326" spans="1:9" x14ac:dyDescent="0.25">
      <c r="A326" t="s">
        <v>675</v>
      </c>
      <c r="B326" t="s">
        <v>264</v>
      </c>
      <c r="C326" s="26">
        <v>-76992</v>
      </c>
      <c r="D326" s="26">
        <v>0</v>
      </c>
      <c r="E326" s="26">
        <v>0</v>
      </c>
      <c r="F326" s="26">
        <v>0</v>
      </c>
      <c r="G326" s="26">
        <v>-76992</v>
      </c>
      <c r="H326" t="str">
        <f>_xlfn.XLOOKUP(A326,indice!A:A,indice!C:C)</f>
        <v>N</v>
      </c>
      <c r="I326" t="str">
        <f>_xlfn.XLOOKUP(A326,indice!A:A,indice!D:D)</f>
        <v>NÃO UTILIZAR</v>
      </c>
    </row>
    <row r="327" spans="1:9" x14ac:dyDescent="0.25">
      <c r="A327" t="s">
        <v>676</v>
      </c>
      <c r="B327" t="s">
        <v>266</v>
      </c>
      <c r="C327" s="26">
        <v>-9024205.4199999999</v>
      </c>
      <c r="D327" s="26">
        <v>0</v>
      </c>
      <c r="E327" s="26">
        <v>0</v>
      </c>
      <c r="F327" s="26">
        <v>0</v>
      </c>
      <c r="G327" s="26">
        <v>-9024205.4199999999</v>
      </c>
      <c r="H327" t="str">
        <f>_xlfn.XLOOKUP(A327,indice!A:A,indice!C:C)</f>
        <v>N</v>
      </c>
      <c r="I327" t="str">
        <f>_xlfn.XLOOKUP(A327,indice!A:A,indice!D:D)</f>
        <v>NÃO UTILIZAR</v>
      </c>
    </row>
    <row r="328" spans="1:9" x14ac:dyDescent="0.25">
      <c r="A328" t="s">
        <v>677</v>
      </c>
      <c r="B328" t="s">
        <v>262</v>
      </c>
      <c r="C328" s="26">
        <v>-13061964.800000001</v>
      </c>
      <c r="D328" s="26">
        <v>0</v>
      </c>
      <c r="E328" s="26">
        <v>0</v>
      </c>
      <c r="F328" s="26">
        <v>0</v>
      </c>
      <c r="G328" s="26">
        <v>-13061964.800000001</v>
      </c>
      <c r="H328" t="str">
        <f>_xlfn.XLOOKUP(A328,indice!A:A,indice!C:C)</f>
        <v>N</v>
      </c>
      <c r="I328" t="str">
        <f>_xlfn.XLOOKUP(A328,indice!A:A,indice!D:D)</f>
        <v>NÃO UTILIZAR</v>
      </c>
    </row>
    <row r="329" spans="1:9" x14ac:dyDescent="0.25">
      <c r="A329" t="s">
        <v>1135</v>
      </c>
      <c r="B329" t="s">
        <v>260</v>
      </c>
      <c r="C329" s="26">
        <v>-3377798.6</v>
      </c>
      <c r="D329" s="26">
        <v>0</v>
      </c>
      <c r="E329" s="26">
        <v>0</v>
      </c>
      <c r="F329" s="26">
        <v>0</v>
      </c>
      <c r="G329" s="26">
        <v>-3377798.6</v>
      </c>
      <c r="H329" t="str">
        <f>_xlfn.XLOOKUP(A329,indice!A:A,indice!C:C)</f>
        <v>N</v>
      </c>
      <c r="I329" t="str">
        <f>_xlfn.XLOOKUP(A329,indice!A:A,indice!D:D)</f>
        <v>NÃO UTILIZAR</v>
      </c>
    </row>
    <row r="330" spans="1:9" x14ac:dyDescent="0.25">
      <c r="A330" t="s">
        <v>678</v>
      </c>
      <c r="B330" t="s">
        <v>679</v>
      </c>
      <c r="C330" s="26">
        <v>-32400989.02</v>
      </c>
      <c r="D330" s="26">
        <v>0</v>
      </c>
      <c r="E330" s="26">
        <v>7961824.4100000001</v>
      </c>
      <c r="F330" s="26">
        <v>-7961824.4100000001</v>
      </c>
      <c r="G330" s="26">
        <v>-40362813.43</v>
      </c>
      <c r="H330" t="str">
        <f>_xlfn.XLOOKUP(A330,indice!A:A,indice!C:C)</f>
        <v>N</v>
      </c>
      <c r="I330" t="str">
        <f>_xlfn.XLOOKUP(A330,indice!A:A,indice!D:D)</f>
        <v>NÃO UTILIZAR</v>
      </c>
    </row>
    <row r="331" spans="1:9" x14ac:dyDescent="0.25">
      <c r="A331" t="s">
        <v>680</v>
      </c>
      <c r="B331" t="s">
        <v>260</v>
      </c>
      <c r="C331" s="26">
        <v>-32400989.02</v>
      </c>
      <c r="D331" s="26">
        <v>0</v>
      </c>
      <c r="E331" s="26">
        <v>7961824.4100000001</v>
      </c>
      <c r="F331" s="26">
        <v>-7961824.4100000001</v>
      </c>
      <c r="G331" s="26">
        <v>-40362813.43</v>
      </c>
      <c r="H331" t="str">
        <f>_xlfn.XLOOKUP(A331,indice!A:A,indice!C:C)</f>
        <v>N</v>
      </c>
      <c r="I331" t="str">
        <f>_xlfn.XLOOKUP(A331,indice!A:A,indice!D:D)</f>
        <v>NÃO UTILIZAR</v>
      </c>
    </row>
    <row r="332" spans="1:9" x14ac:dyDescent="0.25">
      <c r="A332" t="s">
        <v>681</v>
      </c>
      <c r="B332" t="s">
        <v>682</v>
      </c>
      <c r="C332" s="26">
        <v>-4290</v>
      </c>
      <c r="D332" s="26">
        <v>0</v>
      </c>
      <c r="E332" s="26">
        <v>1170</v>
      </c>
      <c r="F332" s="26">
        <v>-1170</v>
      </c>
      <c r="G332" s="26">
        <v>-5460</v>
      </c>
      <c r="H332" t="str">
        <f>_xlfn.XLOOKUP(A332,indice!A:A,indice!C:C)</f>
        <v>N</v>
      </c>
      <c r="I332" t="str">
        <f>_xlfn.XLOOKUP(A332,indice!A:A,indice!D:D)</f>
        <v>NÃO UTILIZAR</v>
      </c>
    </row>
    <row r="333" spans="1:9" x14ac:dyDescent="0.25">
      <c r="A333" t="s">
        <v>685</v>
      </c>
      <c r="B333" t="s">
        <v>686</v>
      </c>
      <c r="C333" s="26">
        <v>-4290</v>
      </c>
      <c r="D333" s="26">
        <v>0</v>
      </c>
      <c r="E333" s="26">
        <v>1170</v>
      </c>
      <c r="F333" s="26">
        <v>-1170</v>
      </c>
      <c r="G333" s="26">
        <v>-5460</v>
      </c>
      <c r="H333" t="str">
        <f>_xlfn.XLOOKUP(A333,indice!A:A,indice!C:C)</f>
        <v>N</v>
      </c>
      <c r="I333" t="str">
        <f>_xlfn.XLOOKUP(A333,indice!A:A,indice!D:D)</f>
        <v>NÃO UTILIZAR</v>
      </c>
    </row>
    <row r="334" spans="1:9" x14ac:dyDescent="0.25">
      <c r="A334" t="s">
        <v>691</v>
      </c>
      <c r="B334" t="s">
        <v>692</v>
      </c>
      <c r="C334" s="26">
        <v>-62230</v>
      </c>
      <c r="D334" s="26">
        <v>0</v>
      </c>
      <c r="E334" s="26">
        <v>7287</v>
      </c>
      <c r="F334" s="26">
        <v>-7287</v>
      </c>
      <c r="G334" s="26">
        <v>-69517</v>
      </c>
      <c r="H334" t="str">
        <f>_xlfn.XLOOKUP(A334,indice!A:A,indice!C:C)</f>
        <v>N</v>
      </c>
      <c r="I334" t="str">
        <f>_xlfn.XLOOKUP(A334,indice!A:A,indice!D:D)</f>
        <v>NÃO UTILIZAR</v>
      </c>
    </row>
    <row r="335" spans="1:9" x14ac:dyDescent="0.25">
      <c r="A335" t="s">
        <v>693</v>
      </c>
      <c r="B335" t="s">
        <v>694</v>
      </c>
      <c r="C335" s="26">
        <v>-62230</v>
      </c>
      <c r="D335" s="26">
        <v>0</v>
      </c>
      <c r="E335" s="26">
        <v>7287</v>
      </c>
      <c r="F335" s="26">
        <v>-7287</v>
      </c>
      <c r="G335" s="26">
        <v>-69517</v>
      </c>
      <c r="H335" t="str">
        <f>_xlfn.XLOOKUP(A335,indice!A:A,indice!C:C)</f>
        <v>N</v>
      </c>
      <c r="I335" t="str">
        <f>_xlfn.XLOOKUP(A335,indice!A:A,indice!D:D)</f>
        <v>NÃO UTILIZAR</v>
      </c>
    </row>
    <row r="336" spans="1:9" x14ac:dyDescent="0.25">
      <c r="A336" t="s">
        <v>1048</v>
      </c>
      <c r="B336" t="s">
        <v>1049</v>
      </c>
      <c r="C336" s="26">
        <v>-123930.22</v>
      </c>
      <c r="D336" s="26">
        <v>60797.279999999999</v>
      </c>
      <c r="E336" s="26">
        <v>740899.23</v>
      </c>
      <c r="F336" s="26">
        <v>-680101.95</v>
      </c>
      <c r="G336" s="26">
        <v>-804032.17</v>
      </c>
      <c r="H336" t="str">
        <f>_xlfn.XLOOKUP(A336,indice!A:A,indice!C:C)</f>
        <v>N</v>
      </c>
      <c r="I336" t="str">
        <f>_xlfn.XLOOKUP(A336,indice!A:A,indice!D:D)</f>
        <v>NÃO UTILIZAR</v>
      </c>
    </row>
    <row r="337" spans="1:9" x14ac:dyDescent="0.25">
      <c r="A337" t="s">
        <v>1050</v>
      </c>
      <c r="B337" t="s">
        <v>1051</v>
      </c>
      <c r="C337" s="26">
        <v>-123930.22</v>
      </c>
      <c r="D337" s="26">
        <v>60797.279999999999</v>
      </c>
      <c r="E337" s="26">
        <v>740899.23</v>
      </c>
      <c r="F337" s="26">
        <v>-680101.95</v>
      </c>
      <c r="G337" s="26">
        <v>-804032.17</v>
      </c>
      <c r="H337" t="str">
        <f>_xlfn.XLOOKUP(A337,indice!A:A,indice!C:C)</f>
        <v>N</v>
      </c>
      <c r="I337" t="str">
        <f>_xlfn.XLOOKUP(A337,indice!A:A,indice!D:D)</f>
        <v>NÃO UTILIZAR</v>
      </c>
    </row>
    <row r="338" spans="1:9" x14ac:dyDescent="0.25">
      <c r="A338" t="s">
        <v>695</v>
      </c>
      <c r="B338" t="s">
        <v>696</v>
      </c>
      <c r="C338" s="26">
        <v>83433930.700000003</v>
      </c>
      <c r="D338" s="26">
        <v>20837797.149999999</v>
      </c>
      <c r="E338" s="26">
        <v>9674035.0999999996</v>
      </c>
      <c r="F338" s="26">
        <v>11163762.050000001</v>
      </c>
      <c r="G338" s="26">
        <v>94597692.75</v>
      </c>
      <c r="H338" t="str">
        <f>_xlfn.XLOOKUP(A338,indice!A:A,indice!C:C)</f>
        <v>N</v>
      </c>
      <c r="I338" t="str">
        <f>_xlfn.XLOOKUP(A338,indice!A:A,indice!D:D)</f>
        <v>NÃO UTILIZAR</v>
      </c>
    </row>
    <row r="339" spans="1:9" x14ac:dyDescent="0.25">
      <c r="A339" t="s">
        <v>697</v>
      </c>
      <c r="B339" t="s">
        <v>698</v>
      </c>
      <c r="C339" s="26">
        <v>4442517.96</v>
      </c>
      <c r="D339" s="26">
        <v>10418.93</v>
      </c>
      <c r="E339" s="26">
        <v>0</v>
      </c>
      <c r="F339" s="26">
        <v>10418.93</v>
      </c>
      <c r="G339" s="26">
        <v>4452936.8899999997</v>
      </c>
      <c r="H339" t="str">
        <f>_xlfn.XLOOKUP(A339,indice!A:A,indice!C:C)</f>
        <v>N</v>
      </c>
      <c r="I339" t="str">
        <f>_xlfn.XLOOKUP(A339,indice!A:A,indice!D:D)</f>
        <v>NÃO UTILIZAR</v>
      </c>
    </row>
    <row r="340" spans="1:9" x14ac:dyDescent="0.25">
      <c r="A340" t="s">
        <v>699</v>
      </c>
      <c r="B340" t="s">
        <v>700</v>
      </c>
      <c r="C340" s="26">
        <v>4415123.59</v>
      </c>
      <c r="D340" s="26">
        <v>7735.91</v>
      </c>
      <c r="E340" s="26">
        <v>0</v>
      </c>
      <c r="F340" s="26">
        <v>7735.91</v>
      </c>
      <c r="G340" s="26">
        <v>4422859.5</v>
      </c>
      <c r="H340" t="str">
        <f>_xlfn.XLOOKUP(A340,indice!A:A,indice!C:C)</f>
        <v>N</v>
      </c>
      <c r="I340" t="str">
        <f>_xlfn.XLOOKUP(A340,indice!A:A,indice!D:D)</f>
        <v>NÃO UTILIZAR</v>
      </c>
    </row>
    <row r="341" spans="1:9" x14ac:dyDescent="0.25">
      <c r="A341" t="s">
        <v>701</v>
      </c>
      <c r="B341" t="s">
        <v>172</v>
      </c>
      <c r="C341" s="26">
        <v>2168666.48</v>
      </c>
      <c r="D341" s="26">
        <v>0</v>
      </c>
      <c r="E341" s="26">
        <v>0</v>
      </c>
      <c r="F341" s="26">
        <v>0</v>
      </c>
      <c r="G341" s="26">
        <v>2168666.48</v>
      </c>
      <c r="H341" t="str">
        <f>_xlfn.XLOOKUP(A341,indice!A:A,indice!C:C)</f>
        <v>N</v>
      </c>
      <c r="I341" t="str">
        <f>_xlfn.XLOOKUP(A341,indice!A:A,indice!D:D)</f>
        <v>NÃO UTILIZAR</v>
      </c>
    </row>
    <row r="342" spans="1:9" x14ac:dyDescent="0.25">
      <c r="A342" t="s">
        <v>702</v>
      </c>
      <c r="B342" t="s">
        <v>170</v>
      </c>
      <c r="C342" s="26">
        <v>3624.98</v>
      </c>
      <c r="D342" s="26">
        <v>0</v>
      </c>
      <c r="E342" s="26">
        <v>0</v>
      </c>
      <c r="F342" s="26">
        <v>0</v>
      </c>
      <c r="G342" s="26">
        <v>3624.98</v>
      </c>
      <c r="H342" t="str">
        <f>_xlfn.XLOOKUP(A342,indice!A:A,indice!C:C)</f>
        <v>N</v>
      </c>
      <c r="I342" t="str">
        <f>_xlfn.XLOOKUP(A342,indice!A:A,indice!D:D)</f>
        <v>NÃO UTILIZAR</v>
      </c>
    </row>
    <row r="343" spans="1:9" x14ac:dyDescent="0.25">
      <c r="A343" t="s">
        <v>703</v>
      </c>
      <c r="B343" t="s">
        <v>704</v>
      </c>
      <c r="C343" s="26">
        <v>255513.75</v>
      </c>
      <c r="D343" s="26">
        <v>1379.92</v>
      </c>
      <c r="E343" s="26">
        <v>0</v>
      </c>
      <c r="F343" s="26">
        <v>1379.92</v>
      </c>
      <c r="G343" s="26">
        <v>256893.67</v>
      </c>
      <c r="H343" t="str">
        <f>_xlfn.XLOOKUP(A343,indice!A:A,indice!C:C)</f>
        <v>N</v>
      </c>
      <c r="I343" t="str">
        <f>_xlfn.XLOOKUP(A343,indice!A:A,indice!D:D)</f>
        <v>NÃO UTILIZAR</v>
      </c>
    </row>
    <row r="344" spans="1:9" x14ac:dyDescent="0.25">
      <c r="A344" t="s">
        <v>705</v>
      </c>
      <c r="B344" t="s">
        <v>706</v>
      </c>
      <c r="C344" s="26">
        <v>1175029.98</v>
      </c>
      <c r="D344" s="26">
        <v>6355.99</v>
      </c>
      <c r="E344" s="26">
        <v>0</v>
      </c>
      <c r="F344" s="26">
        <v>6355.99</v>
      </c>
      <c r="G344" s="26">
        <v>1181385.97</v>
      </c>
      <c r="H344" t="str">
        <f>_xlfn.XLOOKUP(A344,indice!A:A,indice!C:C)</f>
        <v>N</v>
      </c>
      <c r="I344" t="str">
        <f>_xlfn.XLOOKUP(A344,indice!A:A,indice!D:D)</f>
        <v>NÃO UTILIZAR</v>
      </c>
    </row>
    <row r="345" spans="1:9" x14ac:dyDescent="0.25">
      <c r="A345" t="s">
        <v>707</v>
      </c>
      <c r="B345" t="s">
        <v>708</v>
      </c>
      <c r="C345" s="26">
        <v>662541.32999999996</v>
      </c>
      <c r="D345" s="26">
        <v>0</v>
      </c>
      <c r="E345" s="26">
        <v>0</v>
      </c>
      <c r="F345" s="26">
        <v>0</v>
      </c>
      <c r="G345" s="26">
        <v>662541.32999999996</v>
      </c>
      <c r="H345" t="str">
        <f>_xlfn.XLOOKUP(A345,indice!A:A,indice!C:C)</f>
        <v>N</v>
      </c>
      <c r="I345" t="str">
        <f>_xlfn.XLOOKUP(A345,indice!A:A,indice!D:D)</f>
        <v>NÃO UTILIZAR</v>
      </c>
    </row>
    <row r="346" spans="1:9" x14ac:dyDescent="0.25">
      <c r="A346" t="s">
        <v>709</v>
      </c>
      <c r="B346" t="s">
        <v>710</v>
      </c>
      <c r="C346" s="26">
        <v>149747.07</v>
      </c>
      <c r="D346" s="26">
        <v>0</v>
      </c>
      <c r="E346" s="26">
        <v>0</v>
      </c>
      <c r="F346" s="26">
        <v>0</v>
      </c>
      <c r="G346" s="26">
        <v>149747.07</v>
      </c>
      <c r="H346" t="str">
        <f>_xlfn.XLOOKUP(A346,indice!A:A,indice!C:C)</f>
        <v>N</v>
      </c>
      <c r="I346" t="str">
        <f>_xlfn.XLOOKUP(A346,indice!A:A,indice!D:D)</f>
        <v>NÃO UTILIZAR</v>
      </c>
    </row>
    <row r="347" spans="1:9" x14ac:dyDescent="0.25">
      <c r="A347" t="s">
        <v>711</v>
      </c>
      <c r="B347" t="s">
        <v>712</v>
      </c>
      <c r="C347" s="26">
        <v>27394.37</v>
      </c>
      <c r="D347" s="26">
        <v>2683.02</v>
      </c>
      <c r="E347" s="26">
        <v>0</v>
      </c>
      <c r="F347" s="26">
        <v>2683.02</v>
      </c>
      <c r="G347" s="26">
        <v>30077.39</v>
      </c>
      <c r="H347" t="str">
        <f>_xlfn.XLOOKUP(A347,indice!A:A,indice!C:C)</f>
        <v>N</v>
      </c>
      <c r="I347" t="str">
        <f>_xlfn.XLOOKUP(A347,indice!A:A,indice!D:D)</f>
        <v>NÃO UTILIZAR</v>
      </c>
    </row>
    <row r="348" spans="1:9" x14ac:dyDescent="0.25">
      <c r="A348" t="s">
        <v>713</v>
      </c>
      <c r="B348" t="s">
        <v>172</v>
      </c>
      <c r="C348" s="26">
        <v>21241.26</v>
      </c>
      <c r="D348" s="26">
        <v>1900.74</v>
      </c>
      <c r="E348" s="26">
        <v>0</v>
      </c>
      <c r="F348" s="26">
        <v>1900.74</v>
      </c>
      <c r="G348" s="26">
        <v>23142</v>
      </c>
      <c r="H348" t="str">
        <f>_xlfn.XLOOKUP(A348,indice!A:A,indice!C:C)</f>
        <v>N</v>
      </c>
      <c r="I348" t="str">
        <f>_xlfn.XLOOKUP(A348,indice!A:A,indice!D:D)</f>
        <v>NÃO UTILIZAR</v>
      </c>
    </row>
    <row r="349" spans="1:9" x14ac:dyDescent="0.25">
      <c r="A349" t="s">
        <v>714</v>
      </c>
      <c r="B349" t="s">
        <v>715</v>
      </c>
      <c r="C349" s="26">
        <v>1097.5899999999999</v>
      </c>
      <c r="D349" s="26">
        <v>139.55000000000001</v>
      </c>
      <c r="E349" s="26">
        <v>0</v>
      </c>
      <c r="F349" s="26">
        <v>139.55000000000001</v>
      </c>
      <c r="G349" s="26">
        <v>1237.1400000000001</v>
      </c>
      <c r="H349" t="str">
        <f>_xlfn.XLOOKUP(A349,indice!A:A,indice!C:C)</f>
        <v>N</v>
      </c>
      <c r="I349" t="str">
        <f>_xlfn.XLOOKUP(A349,indice!A:A,indice!D:D)</f>
        <v>NÃO UTILIZAR</v>
      </c>
    </row>
    <row r="350" spans="1:9" x14ac:dyDescent="0.25">
      <c r="A350" t="s">
        <v>716</v>
      </c>
      <c r="B350" t="s">
        <v>717</v>
      </c>
      <c r="C350" s="26">
        <v>5055.5200000000004</v>
      </c>
      <c r="D350" s="26">
        <v>642.73</v>
      </c>
      <c r="E350" s="26">
        <v>0</v>
      </c>
      <c r="F350" s="26">
        <v>642.73</v>
      </c>
      <c r="G350" s="26">
        <v>5698.25</v>
      </c>
      <c r="H350" t="str">
        <f>_xlfn.XLOOKUP(A350,indice!A:A,indice!C:C)</f>
        <v>N</v>
      </c>
      <c r="I350" t="str">
        <f>_xlfn.XLOOKUP(A350,indice!A:A,indice!D:D)</f>
        <v>NÃO UTILIZAR</v>
      </c>
    </row>
    <row r="351" spans="1:9" x14ac:dyDescent="0.25">
      <c r="A351" t="s">
        <v>718</v>
      </c>
      <c r="B351" t="s">
        <v>719</v>
      </c>
      <c r="C351" s="26">
        <v>70577240.689999998</v>
      </c>
      <c r="D351" s="26">
        <v>9398076.8200000003</v>
      </c>
      <c r="E351" s="26">
        <v>0</v>
      </c>
      <c r="F351" s="26">
        <v>9398076.8200000003</v>
      </c>
      <c r="G351" s="26">
        <v>79975317.510000005</v>
      </c>
      <c r="H351" t="str">
        <f>_xlfn.XLOOKUP(A351,indice!A:A,indice!C:C)</f>
        <v>N</v>
      </c>
      <c r="I351" t="str">
        <f>_xlfn.XLOOKUP(A351,indice!A:A,indice!D:D)</f>
        <v>NÃO UTILIZAR</v>
      </c>
    </row>
    <row r="352" spans="1:9" x14ac:dyDescent="0.25">
      <c r="A352" t="s">
        <v>720</v>
      </c>
      <c r="B352" t="s">
        <v>721</v>
      </c>
      <c r="C352" s="26">
        <v>70577240.689999998</v>
      </c>
      <c r="D352" s="26">
        <v>8486611.4399999995</v>
      </c>
      <c r="E352" s="26">
        <v>0</v>
      </c>
      <c r="F352" s="26">
        <v>8486611.4399999995</v>
      </c>
      <c r="G352" s="26">
        <v>79063852.129999995</v>
      </c>
      <c r="H352" t="str">
        <f>_xlfn.XLOOKUP(A352,indice!A:A,indice!C:C)</f>
        <v>N</v>
      </c>
      <c r="I352" t="str">
        <f>_xlfn.XLOOKUP(A352,indice!A:A,indice!D:D)</f>
        <v>NÃO UTILIZAR</v>
      </c>
    </row>
    <row r="353" spans="1:9" x14ac:dyDescent="0.25">
      <c r="A353" t="s">
        <v>726</v>
      </c>
      <c r="B353" t="s">
        <v>264</v>
      </c>
      <c r="C353" s="26">
        <v>111485.73</v>
      </c>
      <c r="D353" s="26">
        <v>0</v>
      </c>
      <c r="E353" s="26">
        <v>0</v>
      </c>
      <c r="F353" s="26">
        <v>0</v>
      </c>
      <c r="G353" s="26">
        <v>111485.73</v>
      </c>
      <c r="H353" t="str">
        <f>_xlfn.XLOOKUP(A353,indice!A:A,indice!C:C)</f>
        <v>N</v>
      </c>
      <c r="I353" t="str">
        <f>_xlfn.XLOOKUP(A353,indice!A:A,indice!D:D)</f>
        <v>NÃO UTILIZAR</v>
      </c>
    </row>
    <row r="354" spans="1:9" x14ac:dyDescent="0.25">
      <c r="A354" t="s">
        <v>1052</v>
      </c>
      <c r="B354" t="s">
        <v>1053</v>
      </c>
      <c r="C354" s="26">
        <v>9738123.0500000007</v>
      </c>
      <c r="D354" s="26">
        <v>0</v>
      </c>
      <c r="E354" s="26">
        <v>0</v>
      </c>
      <c r="F354" s="26">
        <v>0</v>
      </c>
      <c r="G354" s="26">
        <v>9738123.0500000007</v>
      </c>
      <c r="H354" t="str">
        <f>_xlfn.XLOOKUP(A354,indice!A:A,indice!C:C)</f>
        <v>N</v>
      </c>
      <c r="I354" t="str">
        <f>_xlfn.XLOOKUP(A354,indice!A:A,indice!D:D)</f>
        <v>NÃO UTILIZAR</v>
      </c>
    </row>
    <row r="355" spans="1:9" x14ac:dyDescent="0.25">
      <c r="A355" t="s">
        <v>1054</v>
      </c>
      <c r="B355" t="s">
        <v>1055</v>
      </c>
      <c r="C355" s="26">
        <v>15442713.359999999</v>
      </c>
      <c r="D355" s="26">
        <v>0</v>
      </c>
      <c r="E355" s="26">
        <v>0</v>
      </c>
      <c r="F355" s="26">
        <v>0</v>
      </c>
      <c r="G355" s="26">
        <v>15442713.359999999</v>
      </c>
      <c r="H355" t="str">
        <f>_xlfn.XLOOKUP(A355,indice!A:A,indice!C:C)</f>
        <v>N</v>
      </c>
      <c r="I355" t="str">
        <f>_xlfn.XLOOKUP(A355,indice!A:A,indice!D:D)</f>
        <v>NÃO UTILIZAR</v>
      </c>
    </row>
    <row r="356" spans="1:9" x14ac:dyDescent="0.25">
      <c r="A356" t="s">
        <v>1071</v>
      </c>
      <c r="B356" t="s">
        <v>260</v>
      </c>
      <c r="C356" s="26">
        <v>45284918.549999997</v>
      </c>
      <c r="D356" s="26">
        <v>8486611.4399999995</v>
      </c>
      <c r="E356" s="26">
        <v>0</v>
      </c>
      <c r="F356" s="26">
        <v>8486611.4399999995</v>
      </c>
      <c r="G356" s="26">
        <v>53771529.990000002</v>
      </c>
      <c r="H356" t="str">
        <f>_xlfn.XLOOKUP(A356,indice!A:A,indice!C:C)</f>
        <v>N</v>
      </c>
      <c r="I356" t="str">
        <f>_xlfn.XLOOKUP(A356,indice!A:A,indice!D:D)</f>
        <v>NÃO UTILIZAR</v>
      </c>
    </row>
    <row r="357" spans="1:9" x14ac:dyDescent="0.25">
      <c r="A357" t="s">
        <v>727</v>
      </c>
      <c r="B357" t="s">
        <v>728</v>
      </c>
      <c r="C357" s="26">
        <v>0</v>
      </c>
      <c r="D357" s="26">
        <v>911465.38</v>
      </c>
      <c r="E357" s="26">
        <v>0</v>
      </c>
      <c r="F357" s="26">
        <v>911465.38</v>
      </c>
      <c r="G357" s="26">
        <v>911465.38</v>
      </c>
      <c r="H357" t="str">
        <f>_xlfn.XLOOKUP(A357,indice!A:A,indice!C:C)</f>
        <v>N</v>
      </c>
      <c r="I357" t="str">
        <f>_xlfn.XLOOKUP(A357,indice!A:A,indice!D:D)</f>
        <v>NÃO UTILIZAR</v>
      </c>
    </row>
    <row r="358" spans="1:9" x14ac:dyDescent="0.25">
      <c r="A358" t="s">
        <v>729</v>
      </c>
      <c r="B358" t="s">
        <v>730</v>
      </c>
      <c r="C358" s="26">
        <v>0</v>
      </c>
      <c r="D358" s="26">
        <v>911465.38</v>
      </c>
      <c r="E358" s="26">
        <v>0</v>
      </c>
      <c r="F358" s="26">
        <v>911465.38</v>
      </c>
      <c r="G358" s="26">
        <v>911465.38</v>
      </c>
      <c r="H358" t="str">
        <f>_xlfn.XLOOKUP(A358,indice!A:A,indice!C:C)</f>
        <v>N</v>
      </c>
      <c r="I358" t="str">
        <f>_xlfn.XLOOKUP(A358,indice!A:A,indice!D:D)</f>
        <v>NÃO UTILIZAR</v>
      </c>
    </row>
    <row r="359" spans="1:9" x14ac:dyDescent="0.25">
      <c r="A359" t="s">
        <v>731</v>
      </c>
      <c r="B359" t="s">
        <v>732</v>
      </c>
      <c r="C359" s="26">
        <v>8414172.0500000007</v>
      </c>
      <c r="D359" s="26">
        <v>11429301.4</v>
      </c>
      <c r="E359" s="26">
        <v>9674035.0999999996</v>
      </c>
      <c r="F359" s="26">
        <v>1755266.3</v>
      </c>
      <c r="G359" s="26">
        <v>10169438.35</v>
      </c>
      <c r="H359" t="str">
        <f>_xlfn.XLOOKUP(A359,indice!A:A,indice!C:C)</f>
        <v>N</v>
      </c>
      <c r="I359" t="str">
        <f>_xlfn.XLOOKUP(A359,indice!A:A,indice!D:D)</f>
        <v>NÃO UTILIZAR</v>
      </c>
    </row>
    <row r="360" spans="1:9" x14ac:dyDescent="0.25">
      <c r="A360" t="s">
        <v>733</v>
      </c>
      <c r="B360" t="s">
        <v>734</v>
      </c>
      <c r="C360" s="26">
        <v>0</v>
      </c>
      <c r="D360" s="26">
        <v>8153346.0999999996</v>
      </c>
      <c r="E360" s="26">
        <v>8153346.0999999996</v>
      </c>
      <c r="F360" s="26">
        <v>0</v>
      </c>
      <c r="G360" s="26">
        <v>0</v>
      </c>
      <c r="H360" t="str">
        <f>_xlfn.XLOOKUP(A360,indice!A:A,indice!C:C)</f>
        <v>N</v>
      </c>
      <c r="I360" t="str">
        <f>_xlfn.XLOOKUP(A360,indice!A:A,indice!D:D)</f>
        <v>NÃO UTILIZAR</v>
      </c>
    </row>
    <row r="361" spans="1:9" x14ac:dyDescent="0.25">
      <c r="A361" t="s">
        <v>735</v>
      </c>
      <c r="B361" t="s">
        <v>736</v>
      </c>
      <c r="C361" s="26">
        <v>11276974.83</v>
      </c>
      <c r="D361" s="26">
        <v>1432262.83</v>
      </c>
      <c r="E361" s="26">
        <v>2131.62</v>
      </c>
      <c r="F361" s="26">
        <v>1430131.21</v>
      </c>
      <c r="G361" s="26">
        <v>12707106.039999999</v>
      </c>
      <c r="H361" t="str">
        <f>_xlfn.XLOOKUP(A361,indice!A:A,indice!C:C)</f>
        <v>N</v>
      </c>
      <c r="I361" t="str">
        <f>_xlfn.XLOOKUP(A361,indice!A:A,indice!D:D)</f>
        <v>NÃO UTILIZAR</v>
      </c>
    </row>
    <row r="362" spans="1:9" x14ac:dyDescent="0.25">
      <c r="A362" t="s">
        <v>737</v>
      </c>
      <c r="B362" t="s">
        <v>738</v>
      </c>
      <c r="C362" s="26">
        <v>1145605</v>
      </c>
      <c r="D362" s="26">
        <v>215095.75</v>
      </c>
      <c r="E362" s="26">
        <v>513.84</v>
      </c>
      <c r="F362" s="26">
        <v>214581.91</v>
      </c>
      <c r="G362" s="26">
        <v>1360186.91</v>
      </c>
      <c r="H362" t="str">
        <f>_xlfn.XLOOKUP(A362,indice!A:A,indice!C:C)</f>
        <v>N</v>
      </c>
      <c r="I362" t="str">
        <f>_xlfn.XLOOKUP(A362,indice!A:A,indice!D:D)</f>
        <v>NÃO UTILIZAR</v>
      </c>
    </row>
    <row r="363" spans="1:9" x14ac:dyDescent="0.25">
      <c r="A363" t="s">
        <v>739</v>
      </c>
      <c r="B363" t="s">
        <v>740</v>
      </c>
      <c r="C363" s="26">
        <v>1410749.33</v>
      </c>
      <c r="D363" s="26">
        <v>288215.32</v>
      </c>
      <c r="E363" s="26">
        <v>24181.24</v>
      </c>
      <c r="F363" s="26">
        <v>264034.08</v>
      </c>
      <c r="G363" s="26">
        <v>1674783.41</v>
      </c>
      <c r="H363" t="str">
        <f>_xlfn.XLOOKUP(A363,indice!A:A,indice!C:C)</f>
        <v>N</v>
      </c>
      <c r="I363" t="str">
        <f>_xlfn.XLOOKUP(A363,indice!A:A,indice!D:D)</f>
        <v>NÃO UTILIZAR</v>
      </c>
    </row>
    <row r="364" spans="1:9" x14ac:dyDescent="0.25">
      <c r="A364" t="s">
        <v>741</v>
      </c>
      <c r="B364" t="s">
        <v>501</v>
      </c>
      <c r="C364" s="26">
        <v>35648.199999999997</v>
      </c>
      <c r="D364" s="26">
        <v>22013.73</v>
      </c>
      <c r="E364" s="26">
        <v>12985.88</v>
      </c>
      <c r="F364" s="26">
        <v>9027.85</v>
      </c>
      <c r="G364" s="26">
        <v>44676.05</v>
      </c>
      <c r="H364" t="str">
        <f>_xlfn.XLOOKUP(A364,indice!A:A,indice!C:C)</f>
        <v>N</v>
      </c>
      <c r="I364" t="str">
        <f>_xlfn.XLOOKUP(A364,indice!A:A,indice!D:D)</f>
        <v>NÃO UTILIZAR</v>
      </c>
    </row>
    <row r="365" spans="1:9" x14ac:dyDescent="0.25">
      <c r="A365" t="s">
        <v>742</v>
      </c>
      <c r="B365" t="s">
        <v>503</v>
      </c>
      <c r="C365" s="26">
        <v>1160587.8899999999</v>
      </c>
      <c r="D365" s="26">
        <v>182842.38</v>
      </c>
      <c r="E365" s="26">
        <v>35374.04</v>
      </c>
      <c r="F365" s="26">
        <v>147468.34</v>
      </c>
      <c r="G365" s="26">
        <v>1308056.23</v>
      </c>
      <c r="H365" t="str">
        <f>_xlfn.XLOOKUP(A365,indice!A:A,indice!C:C)</f>
        <v>N</v>
      </c>
      <c r="I365" t="str">
        <f>_xlfn.XLOOKUP(A365,indice!A:A,indice!D:D)</f>
        <v>NÃO UTILIZAR</v>
      </c>
    </row>
    <row r="366" spans="1:9" x14ac:dyDescent="0.25">
      <c r="A366" t="s">
        <v>743</v>
      </c>
      <c r="B366" t="s">
        <v>744</v>
      </c>
      <c r="C366" s="26">
        <v>1197.6600000000001</v>
      </c>
      <c r="D366" s="26">
        <v>0</v>
      </c>
      <c r="E366" s="26">
        <v>0</v>
      </c>
      <c r="F366" s="26">
        <v>0</v>
      </c>
      <c r="G366" s="26">
        <v>1197.6600000000001</v>
      </c>
      <c r="H366" t="str">
        <f>_xlfn.XLOOKUP(A366,indice!A:A,indice!C:C)</f>
        <v>N</v>
      </c>
      <c r="I366" t="str">
        <f>_xlfn.XLOOKUP(A366,indice!A:A,indice!D:D)</f>
        <v>NÃO UTILIZAR</v>
      </c>
    </row>
    <row r="367" spans="1:9" x14ac:dyDescent="0.25">
      <c r="A367" t="s">
        <v>745</v>
      </c>
      <c r="B367" t="s">
        <v>746</v>
      </c>
      <c r="C367" s="26">
        <v>45628.59</v>
      </c>
      <c r="D367" s="26">
        <v>475.96</v>
      </c>
      <c r="E367" s="26">
        <v>0</v>
      </c>
      <c r="F367" s="26">
        <v>475.96</v>
      </c>
      <c r="G367" s="26">
        <v>46104.55</v>
      </c>
      <c r="H367" t="str">
        <f>_xlfn.XLOOKUP(A367,indice!A:A,indice!C:C)</f>
        <v>N</v>
      </c>
      <c r="I367" t="str">
        <f>_xlfn.XLOOKUP(A367,indice!A:A,indice!D:D)</f>
        <v>NÃO UTILIZAR</v>
      </c>
    </row>
    <row r="368" spans="1:9" x14ac:dyDescent="0.25">
      <c r="A368" t="s">
        <v>747</v>
      </c>
      <c r="B368" t="s">
        <v>748</v>
      </c>
      <c r="C368" s="26">
        <v>4929.2</v>
      </c>
      <c r="D368" s="26">
        <v>973.7</v>
      </c>
      <c r="E368" s="26">
        <v>0</v>
      </c>
      <c r="F368" s="26">
        <v>973.7</v>
      </c>
      <c r="G368" s="26">
        <v>5902.9</v>
      </c>
      <c r="H368" t="str">
        <f>_xlfn.XLOOKUP(A368,indice!A:A,indice!C:C)</f>
        <v>N</v>
      </c>
      <c r="I368" t="str">
        <f>_xlfn.XLOOKUP(A368,indice!A:A,indice!D:D)</f>
        <v>NÃO UTILIZAR</v>
      </c>
    </row>
    <row r="369" spans="1:9" x14ac:dyDescent="0.25">
      <c r="A369" t="s">
        <v>751</v>
      </c>
      <c r="B369" t="s">
        <v>752</v>
      </c>
      <c r="C369" s="26">
        <v>14261.99</v>
      </c>
      <c r="D369" s="26">
        <v>2500</v>
      </c>
      <c r="E369" s="26">
        <v>0</v>
      </c>
      <c r="F369" s="26">
        <v>2500</v>
      </c>
      <c r="G369" s="26">
        <v>16761.990000000002</v>
      </c>
      <c r="H369" t="str">
        <f>_xlfn.XLOOKUP(A369,indice!A:A,indice!C:C)</f>
        <v>N</v>
      </c>
      <c r="I369" t="str">
        <f>_xlfn.XLOOKUP(A369,indice!A:A,indice!D:D)</f>
        <v>NÃO UTILIZAR</v>
      </c>
    </row>
    <row r="370" spans="1:9" x14ac:dyDescent="0.25">
      <c r="A370" t="s">
        <v>755</v>
      </c>
      <c r="B370" t="s">
        <v>756</v>
      </c>
      <c r="C370" s="26">
        <v>8089.9</v>
      </c>
      <c r="D370" s="26">
        <v>4044.95</v>
      </c>
      <c r="E370" s="26">
        <v>0</v>
      </c>
      <c r="F370" s="26">
        <v>4044.95</v>
      </c>
      <c r="G370" s="26">
        <v>12134.85</v>
      </c>
      <c r="H370" t="str">
        <f>_xlfn.XLOOKUP(A370,indice!A:A,indice!C:C)</f>
        <v>N</v>
      </c>
      <c r="I370" t="str">
        <f>_xlfn.XLOOKUP(A370,indice!A:A,indice!D:D)</f>
        <v>NÃO UTILIZAR</v>
      </c>
    </row>
    <row r="371" spans="1:9" x14ac:dyDescent="0.25">
      <c r="A371" t="s">
        <v>757</v>
      </c>
      <c r="B371" t="s">
        <v>758</v>
      </c>
      <c r="C371" s="26">
        <v>2722766.87</v>
      </c>
      <c r="D371" s="26">
        <v>386336.52</v>
      </c>
      <c r="E371" s="26">
        <v>32814.51</v>
      </c>
      <c r="F371" s="26">
        <v>353522.01</v>
      </c>
      <c r="G371" s="26">
        <v>3076288.88</v>
      </c>
      <c r="H371" t="str">
        <f>_xlfn.XLOOKUP(A371,indice!A:A,indice!C:C)</f>
        <v>N</v>
      </c>
      <c r="I371" t="str">
        <f>_xlfn.XLOOKUP(A371,indice!A:A,indice!D:D)</f>
        <v>NÃO UTILIZAR</v>
      </c>
    </row>
    <row r="372" spans="1:9" x14ac:dyDescent="0.25">
      <c r="A372" t="s">
        <v>759</v>
      </c>
      <c r="B372" t="s">
        <v>760</v>
      </c>
      <c r="C372" s="26">
        <v>641217.38</v>
      </c>
      <c r="D372" s="26">
        <v>0</v>
      </c>
      <c r="E372" s="26">
        <v>0</v>
      </c>
      <c r="F372" s="26">
        <v>0</v>
      </c>
      <c r="G372" s="26">
        <v>641217.38</v>
      </c>
      <c r="H372" t="str">
        <f>_xlfn.XLOOKUP(A372,indice!A:A,indice!C:C)</f>
        <v>N</v>
      </c>
      <c r="I372" t="str">
        <f>_xlfn.XLOOKUP(A372,indice!A:A,indice!D:D)</f>
        <v>NÃO UTILIZAR</v>
      </c>
    </row>
    <row r="373" spans="1:9" x14ac:dyDescent="0.25">
      <c r="A373" t="s">
        <v>763</v>
      </c>
      <c r="B373" t="s">
        <v>764</v>
      </c>
      <c r="C373" s="26">
        <v>800250.02</v>
      </c>
      <c r="D373" s="26">
        <v>417494.43</v>
      </c>
      <c r="E373" s="26">
        <v>0</v>
      </c>
      <c r="F373" s="26">
        <v>417494.43</v>
      </c>
      <c r="G373" s="26">
        <v>1217744.45</v>
      </c>
      <c r="H373" t="str">
        <f>_xlfn.XLOOKUP(A373,indice!A:A,indice!C:C)</f>
        <v>N</v>
      </c>
      <c r="I373" t="str">
        <f>_xlfn.XLOOKUP(A373,indice!A:A,indice!D:D)</f>
        <v>NÃO UTILIZAR</v>
      </c>
    </row>
    <row r="374" spans="1:9" x14ac:dyDescent="0.25">
      <c r="A374" t="s">
        <v>765</v>
      </c>
      <c r="B374" t="s">
        <v>766</v>
      </c>
      <c r="C374" s="26">
        <v>941357.3</v>
      </c>
      <c r="D374" s="26">
        <v>116529.43</v>
      </c>
      <c r="E374" s="26">
        <v>8529.3799999999992</v>
      </c>
      <c r="F374" s="26">
        <v>108000.05</v>
      </c>
      <c r="G374" s="26">
        <v>1049357.3500000001</v>
      </c>
      <c r="H374" t="str">
        <f>_xlfn.XLOOKUP(A374,indice!A:A,indice!C:C)</f>
        <v>N</v>
      </c>
      <c r="I374" t="str">
        <f>_xlfn.XLOOKUP(A374,indice!A:A,indice!D:D)</f>
        <v>NÃO UTILIZAR</v>
      </c>
    </row>
    <row r="375" spans="1:9" x14ac:dyDescent="0.25">
      <c r="A375" t="s">
        <v>767</v>
      </c>
      <c r="B375" t="s">
        <v>768</v>
      </c>
      <c r="C375" s="26">
        <v>3510494.77</v>
      </c>
      <c r="D375" s="26">
        <v>2106722.46</v>
      </c>
      <c r="E375" s="26">
        <v>186387.08</v>
      </c>
      <c r="F375" s="26">
        <v>1920335.38</v>
      </c>
      <c r="G375" s="26">
        <v>5430830.1500000004</v>
      </c>
      <c r="H375" t="str">
        <f>_xlfn.XLOOKUP(A375,indice!A:A,indice!C:C)</f>
        <v>N</v>
      </c>
      <c r="I375" t="str">
        <f>_xlfn.XLOOKUP(A375,indice!A:A,indice!D:D)</f>
        <v>NÃO UTILIZAR</v>
      </c>
    </row>
    <row r="376" spans="1:9" x14ac:dyDescent="0.25">
      <c r="A376" t="s">
        <v>769</v>
      </c>
      <c r="B376" t="s">
        <v>770</v>
      </c>
      <c r="C376" s="26">
        <v>63839.73</v>
      </c>
      <c r="D376" s="26">
        <v>21279.91</v>
      </c>
      <c r="E376" s="26">
        <v>0</v>
      </c>
      <c r="F376" s="26">
        <v>21279.91</v>
      </c>
      <c r="G376" s="26">
        <v>85119.64</v>
      </c>
      <c r="H376" t="str">
        <f>_xlfn.XLOOKUP(A376,indice!A:A,indice!C:C)</f>
        <v>N</v>
      </c>
      <c r="I376" t="str">
        <f>_xlfn.XLOOKUP(A376,indice!A:A,indice!D:D)</f>
        <v>NÃO UTILIZAR</v>
      </c>
    </row>
    <row r="377" spans="1:9" x14ac:dyDescent="0.25">
      <c r="A377" t="s">
        <v>771</v>
      </c>
      <c r="B377" t="s">
        <v>772</v>
      </c>
      <c r="C377" s="26">
        <v>41377.760000000002</v>
      </c>
      <c r="D377" s="26">
        <v>14970.02</v>
      </c>
      <c r="E377" s="26">
        <v>0</v>
      </c>
      <c r="F377" s="26">
        <v>14970.02</v>
      </c>
      <c r="G377" s="26">
        <v>56347.78</v>
      </c>
      <c r="H377" t="str">
        <f>_xlfn.XLOOKUP(A377,indice!A:A,indice!C:C)</f>
        <v>N</v>
      </c>
      <c r="I377" t="str">
        <f>_xlfn.XLOOKUP(A377,indice!A:A,indice!D:D)</f>
        <v>NÃO UTILIZAR</v>
      </c>
    </row>
    <row r="378" spans="1:9" x14ac:dyDescent="0.25">
      <c r="A378" t="s">
        <v>773</v>
      </c>
      <c r="B378" t="s">
        <v>774</v>
      </c>
      <c r="C378" s="26">
        <v>7206.22</v>
      </c>
      <c r="D378" s="26">
        <v>11082.49</v>
      </c>
      <c r="E378" s="26">
        <v>0</v>
      </c>
      <c r="F378" s="26">
        <v>11082.49</v>
      </c>
      <c r="G378" s="26">
        <v>18288.71</v>
      </c>
      <c r="H378" t="str">
        <f>_xlfn.XLOOKUP(A378,indice!A:A,indice!C:C)</f>
        <v>N</v>
      </c>
      <c r="I378" t="str">
        <f>_xlfn.XLOOKUP(A378,indice!A:A,indice!D:D)</f>
        <v>NÃO UTILIZAR</v>
      </c>
    </row>
    <row r="379" spans="1:9" x14ac:dyDescent="0.25">
      <c r="A379" t="s">
        <v>775</v>
      </c>
      <c r="B379" t="s">
        <v>776</v>
      </c>
      <c r="C379" s="26">
        <v>38831.14</v>
      </c>
      <c r="D379" s="26">
        <v>4065.4</v>
      </c>
      <c r="E379" s="26">
        <v>10.29</v>
      </c>
      <c r="F379" s="26">
        <v>4055.11</v>
      </c>
      <c r="G379" s="26">
        <v>42886.25</v>
      </c>
      <c r="H379" t="str">
        <f>_xlfn.XLOOKUP(A379,indice!A:A,indice!C:C)</f>
        <v>N</v>
      </c>
      <c r="I379" t="str">
        <f>_xlfn.XLOOKUP(A379,indice!A:A,indice!D:D)</f>
        <v>NÃO UTILIZAR</v>
      </c>
    </row>
    <row r="380" spans="1:9" x14ac:dyDescent="0.25">
      <c r="A380" t="s">
        <v>777</v>
      </c>
      <c r="B380" t="s">
        <v>778</v>
      </c>
      <c r="C380" s="26">
        <v>4596117.46</v>
      </c>
      <c r="D380" s="26">
        <v>314711.43</v>
      </c>
      <c r="E380" s="26">
        <v>0</v>
      </c>
      <c r="F380" s="26">
        <v>314711.43</v>
      </c>
      <c r="G380" s="26">
        <v>4910828.8899999997</v>
      </c>
      <c r="H380" t="str">
        <f>_xlfn.XLOOKUP(A380,indice!A:A,indice!C:C)</f>
        <v>N</v>
      </c>
      <c r="I380" t="str">
        <f>_xlfn.XLOOKUP(A380,indice!A:A,indice!D:D)</f>
        <v>NÃO UTILIZAR</v>
      </c>
    </row>
    <row r="381" spans="1:9" x14ac:dyDescent="0.25">
      <c r="A381" t="s">
        <v>991</v>
      </c>
      <c r="B381" t="s">
        <v>843</v>
      </c>
      <c r="C381" s="26">
        <v>176.69</v>
      </c>
      <c r="D381" s="26">
        <v>0</v>
      </c>
      <c r="E381" s="26">
        <v>0</v>
      </c>
      <c r="F381" s="26">
        <v>0</v>
      </c>
      <c r="G381" s="26">
        <v>176.69</v>
      </c>
      <c r="H381" t="str">
        <f>_xlfn.XLOOKUP(A381,indice!A:A,indice!C:C)</f>
        <v>N</v>
      </c>
      <c r="I381" t="str">
        <f>_xlfn.XLOOKUP(A381,indice!A:A,indice!D:D)</f>
        <v>NÃO UTILIZAR</v>
      </c>
    </row>
    <row r="382" spans="1:9" x14ac:dyDescent="0.25">
      <c r="A382" t="s">
        <v>779</v>
      </c>
      <c r="B382" t="s">
        <v>780</v>
      </c>
      <c r="C382" s="26">
        <v>119.4</v>
      </c>
      <c r="D382" s="26">
        <v>0</v>
      </c>
      <c r="E382" s="26">
        <v>0</v>
      </c>
      <c r="F382" s="26">
        <v>0</v>
      </c>
      <c r="G382" s="26">
        <v>119.4</v>
      </c>
      <c r="H382" t="str">
        <f>_xlfn.XLOOKUP(A382,indice!A:A,indice!C:C)</f>
        <v>N</v>
      </c>
      <c r="I382" t="str">
        <f>_xlfn.XLOOKUP(A382,indice!A:A,indice!D:D)</f>
        <v>NÃO UTILIZAR</v>
      </c>
    </row>
    <row r="383" spans="1:9" x14ac:dyDescent="0.25">
      <c r="A383" t="s">
        <v>781</v>
      </c>
      <c r="B383" t="s">
        <v>782</v>
      </c>
      <c r="C383" s="26">
        <v>806422.57</v>
      </c>
      <c r="D383" s="26">
        <v>0</v>
      </c>
      <c r="E383" s="26">
        <v>0</v>
      </c>
      <c r="F383" s="26">
        <v>0</v>
      </c>
      <c r="G383" s="26">
        <v>806422.57</v>
      </c>
      <c r="H383" t="str">
        <f>_xlfn.XLOOKUP(A383,indice!A:A,indice!C:C)</f>
        <v>N</v>
      </c>
      <c r="I383" t="str">
        <f>_xlfn.XLOOKUP(A383,indice!A:A,indice!D:D)</f>
        <v>NÃO UTILIZAR</v>
      </c>
    </row>
    <row r="384" spans="1:9" x14ac:dyDescent="0.25">
      <c r="A384" t="s">
        <v>783</v>
      </c>
      <c r="B384" t="s">
        <v>784</v>
      </c>
      <c r="C384" s="26">
        <v>5295455.8600000003</v>
      </c>
      <c r="D384" s="26">
        <v>640469.61</v>
      </c>
      <c r="E384" s="26">
        <v>0</v>
      </c>
      <c r="F384" s="26">
        <v>640469.61</v>
      </c>
      <c r="G384" s="26">
        <v>5935925.4699999997</v>
      </c>
      <c r="H384" t="str">
        <f>_xlfn.XLOOKUP(A384,indice!A:A,indice!C:C)</f>
        <v>N</v>
      </c>
      <c r="I384" t="str">
        <f>_xlfn.XLOOKUP(A384,indice!A:A,indice!D:D)</f>
        <v>NÃO UTILIZAR</v>
      </c>
    </row>
    <row r="385" spans="1:9" x14ac:dyDescent="0.25">
      <c r="A385" t="s">
        <v>785</v>
      </c>
      <c r="B385" t="s">
        <v>786</v>
      </c>
      <c r="C385" s="26">
        <v>1968722.4</v>
      </c>
      <c r="D385" s="26">
        <v>178132.5</v>
      </c>
      <c r="E385" s="26">
        <v>0</v>
      </c>
      <c r="F385" s="26">
        <v>178132.5</v>
      </c>
      <c r="G385" s="26">
        <v>2146854.9</v>
      </c>
      <c r="H385" t="str">
        <f>_xlfn.XLOOKUP(A385,indice!A:A,indice!C:C)</f>
        <v>N</v>
      </c>
      <c r="I385" t="str">
        <f>_xlfn.XLOOKUP(A385,indice!A:A,indice!D:D)</f>
        <v>NÃO UTILIZAR</v>
      </c>
    </row>
    <row r="386" spans="1:9" x14ac:dyDescent="0.25">
      <c r="A386" t="s">
        <v>1040</v>
      </c>
      <c r="B386" t="s">
        <v>1041</v>
      </c>
      <c r="C386" s="26">
        <v>67776.44</v>
      </c>
      <c r="D386" s="26">
        <v>62637.52</v>
      </c>
      <c r="E386" s="26">
        <v>0</v>
      </c>
      <c r="F386" s="26">
        <v>62637.52</v>
      </c>
      <c r="G386" s="26">
        <v>130413.96</v>
      </c>
      <c r="H386" t="str">
        <f>_xlfn.XLOOKUP(A386,indice!A:A,indice!C:C)</f>
        <v>N</v>
      </c>
      <c r="I386" t="str">
        <f>_xlfn.XLOOKUP(A386,indice!A:A,indice!D:D)</f>
        <v>NÃO UTILIZAR</v>
      </c>
    </row>
    <row r="387" spans="1:9" x14ac:dyDescent="0.25">
      <c r="A387" t="s">
        <v>787</v>
      </c>
      <c r="B387" t="s">
        <v>788</v>
      </c>
      <c r="C387" s="26">
        <v>13063783.68</v>
      </c>
      <c r="D387" s="26">
        <v>0</v>
      </c>
      <c r="E387" s="26">
        <v>0</v>
      </c>
      <c r="F387" s="26">
        <v>0</v>
      </c>
      <c r="G387" s="26">
        <v>13063783.68</v>
      </c>
      <c r="H387" t="str">
        <f>_xlfn.XLOOKUP(A387,indice!A:A,indice!C:C)</f>
        <v>N</v>
      </c>
      <c r="I387" t="str">
        <f>_xlfn.XLOOKUP(A387,indice!A:A,indice!D:D)</f>
        <v>NÃO UTILIZAR</v>
      </c>
    </row>
    <row r="388" spans="1:9" x14ac:dyDescent="0.25">
      <c r="A388" t="s">
        <v>789</v>
      </c>
      <c r="B388" t="s">
        <v>790</v>
      </c>
      <c r="C388" s="26">
        <v>1663060.67</v>
      </c>
      <c r="D388" s="26">
        <v>173710.07999999999</v>
      </c>
      <c r="E388" s="26">
        <v>1136.32</v>
      </c>
      <c r="F388" s="26">
        <v>172573.76</v>
      </c>
      <c r="G388" s="26">
        <v>1835634.43</v>
      </c>
      <c r="H388" t="str">
        <f>_xlfn.XLOOKUP(A388,indice!A:A,indice!C:C)</f>
        <v>N</v>
      </c>
      <c r="I388" t="str">
        <f>_xlfn.XLOOKUP(A388,indice!A:A,indice!D:D)</f>
        <v>NÃO UTILIZAR</v>
      </c>
    </row>
    <row r="389" spans="1:9" x14ac:dyDescent="0.25">
      <c r="A389" t="s">
        <v>791</v>
      </c>
      <c r="B389" t="s">
        <v>792</v>
      </c>
      <c r="C389" s="26">
        <v>12656.27</v>
      </c>
      <c r="D389" s="26">
        <v>3627.75</v>
      </c>
      <c r="E389" s="26">
        <v>0</v>
      </c>
      <c r="F389" s="26">
        <v>3627.75</v>
      </c>
      <c r="G389" s="26">
        <v>16284.02</v>
      </c>
      <c r="H389" t="str">
        <f>_xlfn.XLOOKUP(A389,indice!A:A,indice!C:C)</f>
        <v>N</v>
      </c>
      <c r="I389" t="str">
        <f>_xlfn.XLOOKUP(A389,indice!A:A,indice!D:D)</f>
        <v>NÃO UTILIZAR</v>
      </c>
    </row>
    <row r="390" spans="1:9" x14ac:dyDescent="0.25">
      <c r="A390" t="s">
        <v>793</v>
      </c>
      <c r="B390" t="s">
        <v>794</v>
      </c>
      <c r="C390" s="26">
        <v>3689357.93</v>
      </c>
      <c r="D390" s="26">
        <v>1261158.97</v>
      </c>
      <c r="E390" s="26">
        <v>33119.629999999997</v>
      </c>
      <c r="F390" s="26">
        <v>1228039.3400000001</v>
      </c>
      <c r="G390" s="26">
        <v>4917397.2699999996</v>
      </c>
      <c r="H390" t="str">
        <f>_xlfn.XLOOKUP(A390,indice!A:A,indice!C:C)</f>
        <v>N</v>
      </c>
      <c r="I390" t="str">
        <f>_xlfn.XLOOKUP(A390,indice!A:A,indice!D:D)</f>
        <v>NÃO UTILIZAR</v>
      </c>
    </row>
    <row r="391" spans="1:9" x14ac:dyDescent="0.25">
      <c r="A391" t="s">
        <v>795</v>
      </c>
      <c r="B391" t="s">
        <v>796</v>
      </c>
      <c r="C391" s="26">
        <v>4013851.2</v>
      </c>
      <c r="D391" s="26">
        <v>0</v>
      </c>
      <c r="E391" s="26">
        <v>0</v>
      </c>
      <c r="F391" s="26">
        <v>0</v>
      </c>
      <c r="G391" s="26">
        <v>4013851.2</v>
      </c>
      <c r="H391" t="str">
        <f>_xlfn.XLOOKUP(A391,indice!A:A,indice!C:C)</f>
        <v>N</v>
      </c>
      <c r="I391" t="str">
        <f>_xlfn.XLOOKUP(A391,indice!A:A,indice!D:D)</f>
        <v>NÃO UTILIZAR</v>
      </c>
    </row>
    <row r="392" spans="1:9" x14ac:dyDescent="0.25">
      <c r="A392" t="s">
        <v>1136</v>
      </c>
      <c r="B392" t="s">
        <v>1137</v>
      </c>
      <c r="C392" s="26">
        <v>28708</v>
      </c>
      <c r="D392" s="26">
        <v>0</v>
      </c>
      <c r="E392" s="26">
        <v>0</v>
      </c>
      <c r="F392" s="26">
        <v>0</v>
      </c>
      <c r="G392" s="26">
        <v>28708</v>
      </c>
      <c r="H392" t="str">
        <f>_xlfn.XLOOKUP(A392,indice!A:A,indice!C:C)</f>
        <v>N</v>
      </c>
      <c r="I392" t="str">
        <f>_xlfn.XLOOKUP(A392,indice!A:A,indice!D:D)</f>
        <v>NÃO UTILIZAR</v>
      </c>
    </row>
    <row r="393" spans="1:9" x14ac:dyDescent="0.25">
      <c r="A393" t="s">
        <v>797</v>
      </c>
      <c r="B393" t="s">
        <v>798</v>
      </c>
      <c r="C393" s="26">
        <v>81576.98</v>
      </c>
      <c r="D393" s="26">
        <v>22755.24</v>
      </c>
      <c r="E393" s="26">
        <v>119.8</v>
      </c>
      <c r="F393" s="26">
        <v>22635.439999999999</v>
      </c>
      <c r="G393" s="26">
        <v>104212.42</v>
      </c>
      <c r="H393" t="str">
        <f>_xlfn.XLOOKUP(A393,indice!A:A,indice!C:C)</f>
        <v>N</v>
      </c>
      <c r="I393" t="str">
        <f>_xlfn.XLOOKUP(A393,indice!A:A,indice!D:D)</f>
        <v>NÃO UTILIZAR</v>
      </c>
    </row>
    <row r="394" spans="1:9" x14ac:dyDescent="0.25">
      <c r="A394" t="s">
        <v>1208</v>
      </c>
      <c r="B394" t="s">
        <v>920</v>
      </c>
      <c r="C394" s="26">
        <v>0</v>
      </c>
      <c r="D394" s="26">
        <v>1345.26</v>
      </c>
      <c r="E394" s="26">
        <v>0</v>
      </c>
      <c r="F394" s="26">
        <v>1345.26</v>
      </c>
      <c r="G394" s="26">
        <v>1345.26</v>
      </c>
      <c r="H394" t="str">
        <f>_xlfn.XLOOKUP(A394,indice!A:A,indice!C:C)</f>
        <v>N</v>
      </c>
      <c r="I394" t="str">
        <f>_xlfn.XLOOKUP(A394,indice!A:A,indice!D:D)</f>
        <v>NÃO UTILIZAR</v>
      </c>
    </row>
    <row r="395" spans="1:9" x14ac:dyDescent="0.25">
      <c r="A395" t="s">
        <v>799</v>
      </c>
      <c r="B395" t="s">
        <v>800</v>
      </c>
      <c r="C395" s="26">
        <v>25392562.469999999</v>
      </c>
      <c r="D395" s="26">
        <v>0</v>
      </c>
      <c r="E395" s="26">
        <v>0</v>
      </c>
      <c r="F395" s="26">
        <v>0</v>
      </c>
      <c r="G395" s="26">
        <v>25392562.469999999</v>
      </c>
      <c r="H395" t="str">
        <f>_xlfn.XLOOKUP(A395,indice!A:A,indice!C:C)</f>
        <v>N</v>
      </c>
      <c r="I395" t="str">
        <f>_xlfn.XLOOKUP(A395,indice!A:A,indice!D:D)</f>
        <v>NÃO UTILIZAR</v>
      </c>
    </row>
    <row r="396" spans="1:9" x14ac:dyDescent="0.25">
      <c r="A396" t="s">
        <v>801</v>
      </c>
      <c r="B396" t="s">
        <v>802</v>
      </c>
      <c r="C396" s="26">
        <v>-107667.75</v>
      </c>
      <c r="D396" s="26">
        <v>0</v>
      </c>
      <c r="E396" s="26">
        <v>12296</v>
      </c>
      <c r="F396" s="26">
        <v>-12296</v>
      </c>
      <c r="G396" s="26">
        <v>-119963.75</v>
      </c>
      <c r="H396" t="str">
        <f>_xlfn.XLOOKUP(A396,indice!A:A,indice!C:C)</f>
        <v>N</v>
      </c>
      <c r="I396" t="str">
        <f>_xlfn.XLOOKUP(A396,indice!A:A,indice!D:D)</f>
        <v>NÃO UTILIZAR</v>
      </c>
    </row>
    <row r="397" spans="1:9" x14ac:dyDescent="0.25">
      <c r="A397" t="s">
        <v>803</v>
      </c>
      <c r="B397" t="s">
        <v>804</v>
      </c>
      <c r="C397" s="26">
        <v>886316.49</v>
      </c>
      <c r="D397" s="26">
        <v>37429.71</v>
      </c>
      <c r="E397" s="26">
        <v>0</v>
      </c>
      <c r="F397" s="26">
        <v>37429.71</v>
      </c>
      <c r="G397" s="26">
        <v>923746.2</v>
      </c>
      <c r="H397" t="str">
        <f>_xlfn.XLOOKUP(A397,indice!A:A,indice!C:C)</f>
        <v>N</v>
      </c>
      <c r="I397" t="str">
        <f>_xlfn.XLOOKUP(A397,indice!A:A,indice!D:D)</f>
        <v>NÃO UTILIZAR</v>
      </c>
    </row>
    <row r="398" spans="1:9" x14ac:dyDescent="0.25">
      <c r="A398" t="s">
        <v>805</v>
      </c>
      <c r="B398" t="s">
        <v>806</v>
      </c>
      <c r="C398" s="26">
        <v>82760.66</v>
      </c>
      <c r="D398" s="26">
        <v>18461.8</v>
      </c>
      <c r="E398" s="26">
        <v>0</v>
      </c>
      <c r="F398" s="26">
        <v>18461.8</v>
      </c>
      <c r="G398" s="26">
        <v>101222.46</v>
      </c>
      <c r="H398" t="str">
        <f>_xlfn.XLOOKUP(A398,indice!A:A,indice!C:C)</f>
        <v>N</v>
      </c>
      <c r="I398" t="str">
        <f>_xlfn.XLOOKUP(A398,indice!A:A,indice!D:D)</f>
        <v>NÃO UTILIZAR</v>
      </c>
    </row>
    <row r="399" spans="1:9" x14ac:dyDescent="0.25">
      <c r="A399" t="s">
        <v>807</v>
      </c>
      <c r="B399" t="s">
        <v>808</v>
      </c>
      <c r="C399" s="26">
        <v>360510.4</v>
      </c>
      <c r="D399" s="26">
        <v>87858.2</v>
      </c>
      <c r="E399" s="26">
        <v>0</v>
      </c>
      <c r="F399" s="26">
        <v>87858.2</v>
      </c>
      <c r="G399" s="26">
        <v>448368.6</v>
      </c>
      <c r="H399" t="str">
        <f>_xlfn.XLOOKUP(A399,indice!A:A,indice!C:C)</f>
        <v>N</v>
      </c>
      <c r="I399" t="str">
        <f>_xlfn.XLOOKUP(A399,indice!A:A,indice!D:D)</f>
        <v>NÃO UTILIZAR</v>
      </c>
    </row>
    <row r="400" spans="1:9" x14ac:dyDescent="0.25">
      <c r="A400" t="s">
        <v>809</v>
      </c>
      <c r="B400" t="s">
        <v>810</v>
      </c>
      <c r="C400" s="26">
        <v>230534.64</v>
      </c>
      <c r="D400" s="26">
        <v>32857.769999999997</v>
      </c>
      <c r="E400" s="26">
        <v>0</v>
      </c>
      <c r="F400" s="26">
        <v>32857.769999999997</v>
      </c>
      <c r="G400" s="26">
        <v>263392.40999999997</v>
      </c>
      <c r="H400" t="str">
        <f>_xlfn.XLOOKUP(A400,indice!A:A,indice!C:C)</f>
        <v>N</v>
      </c>
      <c r="I400" t="str">
        <f>_xlfn.XLOOKUP(A400,indice!A:A,indice!D:D)</f>
        <v>NÃO UTILIZAR</v>
      </c>
    </row>
    <row r="401" spans="1:9" x14ac:dyDescent="0.25">
      <c r="A401" t="s">
        <v>811</v>
      </c>
      <c r="B401" t="s">
        <v>812</v>
      </c>
      <c r="C401" s="26">
        <v>278332.73</v>
      </c>
      <c r="D401" s="26">
        <v>13079.52</v>
      </c>
      <c r="E401" s="26">
        <v>0</v>
      </c>
      <c r="F401" s="26">
        <v>13079.52</v>
      </c>
      <c r="G401" s="26">
        <v>291412.25</v>
      </c>
      <c r="H401" t="str">
        <f>_xlfn.XLOOKUP(A401,indice!A:A,indice!C:C)</f>
        <v>N</v>
      </c>
      <c r="I401" t="str">
        <f>_xlfn.XLOOKUP(A401,indice!A:A,indice!D:D)</f>
        <v>NÃO UTILIZAR</v>
      </c>
    </row>
    <row r="402" spans="1:9" x14ac:dyDescent="0.25">
      <c r="A402" t="s">
        <v>813</v>
      </c>
      <c r="B402" t="s">
        <v>814</v>
      </c>
      <c r="C402" s="26">
        <v>216010.22</v>
      </c>
      <c r="D402" s="26">
        <v>7824.6</v>
      </c>
      <c r="E402" s="26">
        <v>0</v>
      </c>
      <c r="F402" s="26">
        <v>7824.6</v>
      </c>
      <c r="G402" s="26">
        <v>223834.82</v>
      </c>
      <c r="H402" t="str">
        <f>_xlfn.XLOOKUP(A402,indice!A:A,indice!C:C)</f>
        <v>N</v>
      </c>
      <c r="I402" t="str">
        <f>_xlfn.XLOOKUP(A402,indice!A:A,indice!D:D)</f>
        <v>NÃO UTILIZAR</v>
      </c>
    </row>
    <row r="403" spans="1:9" x14ac:dyDescent="0.25">
      <c r="A403" t="s">
        <v>815</v>
      </c>
      <c r="B403" t="s">
        <v>816</v>
      </c>
      <c r="C403" s="26">
        <v>159399.75</v>
      </c>
      <c r="D403" s="26">
        <v>1850</v>
      </c>
      <c r="E403" s="26">
        <v>0</v>
      </c>
      <c r="F403" s="26">
        <v>1850</v>
      </c>
      <c r="G403" s="26">
        <v>161249.75</v>
      </c>
      <c r="H403" t="str">
        <f>_xlfn.XLOOKUP(A403,indice!A:A,indice!C:C)</f>
        <v>N</v>
      </c>
      <c r="I403" t="str">
        <f>_xlfn.XLOOKUP(A403,indice!A:A,indice!D:D)</f>
        <v>NÃO UTILIZAR</v>
      </c>
    </row>
    <row r="404" spans="1:9" x14ac:dyDescent="0.25">
      <c r="A404" t="s">
        <v>817</v>
      </c>
      <c r="B404" t="s">
        <v>818</v>
      </c>
      <c r="C404" s="26">
        <v>-87197255.620000005</v>
      </c>
      <c r="D404" s="26">
        <v>0</v>
      </c>
      <c r="E404" s="26">
        <v>7803746.4699999997</v>
      </c>
      <c r="F404" s="26">
        <v>-7803746.4699999997</v>
      </c>
      <c r="G404" s="26">
        <v>-95001002.090000004</v>
      </c>
      <c r="H404" t="str">
        <f>_xlfn.XLOOKUP(A404,indice!A:A,indice!C:C)</f>
        <v>N</v>
      </c>
      <c r="I404" t="str">
        <f>_xlfn.XLOOKUP(A404,indice!A:A,indice!D:D)</f>
        <v>NÃO UTILIZAR</v>
      </c>
    </row>
    <row r="405" spans="1:9" x14ac:dyDescent="0.25">
      <c r="A405" t="s">
        <v>819</v>
      </c>
      <c r="B405" t="s">
        <v>820</v>
      </c>
      <c r="C405" s="26">
        <v>539696.68000000005</v>
      </c>
      <c r="D405" s="26">
        <v>68530.86</v>
      </c>
      <c r="E405" s="26">
        <v>0</v>
      </c>
      <c r="F405" s="26">
        <v>68530.86</v>
      </c>
      <c r="G405" s="26">
        <v>608227.54</v>
      </c>
      <c r="H405" t="str">
        <f>_xlfn.XLOOKUP(A405,indice!A:A,indice!C:C)</f>
        <v>N</v>
      </c>
      <c r="I405" t="str">
        <f>_xlfn.XLOOKUP(A405,indice!A:A,indice!D:D)</f>
        <v>NÃO UTILIZAR</v>
      </c>
    </row>
    <row r="406" spans="1:9" x14ac:dyDescent="0.25">
      <c r="A406" t="s">
        <v>825</v>
      </c>
      <c r="B406" t="s">
        <v>826</v>
      </c>
      <c r="C406" s="26">
        <v>2855480.04</v>
      </c>
      <c r="D406" s="26">
        <v>43096.639999999999</v>
      </c>
      <c r="E406" s="26">
        <v>2505.33</v>
      </c>
      <c r="F406" s="26">
        <v>40591.31</v>
      </c>
      <c r="G406" s="26">
        <v>2896071.35</v>
      </c>
      <c r="H406" t="str">
        <f>_xlfn.XLOOKUP(A406,indice!A:A,indice!C:C)</f>
        <v>N</v>
      </c>
      <c r="I406" t="str">
        <f>_xlfn.XLOOKUP(A406,indice!A:A,indice!D:D)</f>
        <v>NÃO UTILIZAR</v>
      </c>
    </row>
    <row r="407" spans="1:9" x14ac:dyDescent="0.25">
      <c r="A407" t="s">
        <v>827</v>
      </c>
      <c r="B407" t="s">
        <v>736</v>
      </c>
      <c r="C407" s="26">
        <v>46837.11</v>
      </c>
      <c r="D407" s="26">
        <v>0</v>
      </c>
      <c r="E407" s="26">
        <v>0</v>
      </c>
      <c r="F407" s="26">
        <v>0</v>
      </c>
      <c r="G407" s="26">
        <v>46837.11</v>
      </c>
      <c r="H407" t="str">
        <f>_xlfn.XLOOKUP(A407,indice!A:A,indice!C:C)</f>
        <v>N</v>
      </c>
      <c r="I407" t="str">
        <f>_xlfn.XLOOKUP(A407,indice!A:A,indice!D:D)</f>
        <v>NÃO UTILIZAR</v>
      </c>
    </row>
    <row r="408" spans="1:9" x14ac:dyDescent="0.25">
      <c r="A408" t="s">
        <v>828</v>
      </c>
      <c r="B408" t="s">
        <v>738</v>
      </c>
      <c r="C408" s="26">
        <v>4122.03</v>
      </c>
      <c r="D408" s="26">
        <v>0</v>
      </c>
      <c r="E408" s="26">
        <v>0</v>
      </c>
      <c r="F408" s="26">
        <v>0</v>
      </c>
      <c r="G408" s="26">
        <v>4122.03</v>
      </c>
      <c r="H408" t="str">
        <f>_xlfn.XLOOKUP(A408,indice!A:A,indice!C:C)</f>
        <v>N</v>
      </c>
      <c r="I408" t="str">
        <f>_xlfn.XLOOKUP(A408,indice!A:A,indice!D:D)</f>
        <v>NÃO UTILIZAR</v>
      </c>
    </row>
    <row r="409" spans="1:9" x14ac:dyDescent="0.25">
      <c r="A409" t="s">
        <v>829</v>
      </c>
      <c r="B409" t="s">
        <v>740</v>
      </c>
      <c r="C409" s="26">
        <v>5332.71</v>
      </c>
      <c r="D409" s="26">
        <v>0</v>
      </c>
      <c r="E409" s="26">
        <v>0</v>
      </c>
      <c r="F409" s="26">
        <v>0</v>
      </c>
      <c r="G409" s="26">
        <v>5332.71</v>
      </c>
      <c r="H409" t="str">
        <f>_xlfn.XLOOKUP(A409,indice!A:A,indice!C:C)</f>
        <v>N</v>
      </c>
      <c r="I409" t="str">
        <f>_xlfn.XLOOKUP(A409,indice!A:A,indice!D:D)</f>
        <v>NÃO UTILIZAR</v>
      </c>
    </row>
    <row r="410" spans="1:9" x14ac:dyDescent="0.25">
      <c r="A410" t="s">
        <v>830</v>
      </c>
      <c r="B410" t="s">
        <v>501</v>
      </c>
      <c r="C410" s="26">
        <v>-26.1</v>
      </c>
      <c r="D410" s="26">
        <v>0</v>
      </c>
      <c r="E410" s="26">
        <v>0</v>
      </c>
      <c r="F410" s="26">
        <v>0</v>
      </c>
      <c r="G410" s="26">
        <v>-26.1</v>
      </c>
      <c r="H410" t="str">
        <f>_xlfn.XLOOKUP(A410,indice!A:A,indice!C:C)</f>
        <v>N</v>
      </c>
      <c r="I410" t="str">
        <f>_xlfn.XLOOKUP(A410,indice!A:A,indice!D:D)</f>
        <v>NÃO UTILIZAR</v>
      </c>
    </row>
    <row r="411" spans="1:9" x14ac:dyDescent="0.25">
      <c r="A411" t="s">
        <v>831</v>
      </c>
      <c r="B411" t="s">
        <v>503</v>
      </c>
      <c r="C411" s="26">
        <v>4479.16</v>
      </c>
      <c r="D411" s="26">
        <v>0</v>
      </c>
      <c r="E411" s="26">
        <v>0</v>
      </c>
      <c r="F411" s="26">
        <v>0</v>
      </c>
      <c r="G411" s="26">
        <v>4479.16</v>
      </c>
      <c r="H411" t="str">
        <f>_xlfn.XLOOKUP(A411,indice!A:A,indice!C:C)</f>
        <v>N</v>
      </c>
      <c r="I411" t="str">
        <f>_xlfn.XLOOKUP(A411,indice!A:A,indice!D:D)</f>
        <v>NÃO UTILIZAR</v>
      </c>
    </row>
    <row r="412" spans="1:9" x14ac:dyDescent="0.25">
      <c r="A412" t="s">
        <v>832</v>
      </c>
      <c r="B412" t="s">
        <v>833</v>
      </c>
      <c r="C412" s="26">
        <v>34.979999999999997</v>
      </c>
      <c r="D412" s="26">
        <v>0</v>
      </c>
      <c r="E412" s="26">
        <v>0</v>
      </c>
      <c r="F412" s="26">
        <v>0</v>
      </c>
      <c r="G412" s="26">
        <v>34.979999999999997</v>
      </c>
      <c r="H412" t="str">
        <f>_xlfn.XLOOKUP(A412,indice!A:A,indice!C:C)</f>
        <v>N</v>
      </c>
      <c r="I412" t="str">
        <f>_xlfn.XLOOKUP(A412,indice!A:A,indice!D:D)</f>
        <v>NÃO UTILIZAR</v>
      </c>
    </row>
    <row r="413" spans="1:9" x14ac:dyDescent="0.25">
      <c r="A413" t="s">
        <v>992</v>
      </c>
      <c r="B413" t="s">
        <v>748</v>
      </c>
      <c r="C413" s="26">
        <v>-65</v>
      </c>
      <c r="D413" s="26">
        <v>0</v>
      </c>
      <c r="E413" s="26">
        <v>0</v>
      </c>
      <c r="F413" s="26">
        <v>0</v>
      </c>
      <c r="G413" s="26">
        <v>-65</v>
      </c>
      <c r="H413" t="str">
        <f>_xlfn.XLOOKUP(A413,indice!A:A,indice!C:C)</f>
        <v>N</v>
      </c>
      <c r="I413" t="str">
        <f>_xlfn.XLOOKUP(A413,indice!A:A,indice!D:D)</f>
        <v>NÃO UTILIZAR</v>
      </c>
    </row>
    <row r="414" spans="1:9" x14ac:dyDescent="0.25">
      <c r="A414" t="s">
        <v>834</v>
      </c>
      <c r="B414" t="s">
        <v>754</v>
      </c>
      <c r="C414" s="26">
        <v>53</v>
      </c>
      <c r="D414" s="26">
        <v>0</v>
      </c>
      <c r="E414" s="26">
        <v>0</v>
      </c>
      <c r="F414" s="26">
        <v>0</v>
      </c>
      <c r="G414" s="26">
        <v>53</v>
      </c>
      <c r="H414" t="str">
        <f>_xlfn.XLOOKUP(A414,indice!A:A,indice!C:C)</f>
        <v>N</v>
      </c>
      <c r="I414" t="str">
        <f>_xlfn.XLOOKUP(A414,indice!A:A,indice!D:D)</f>
        <v>NÃO UTILIZAR</v>
      </c>
    </row>
    <row r="415" spans="1:9" x14ac:dyDescent="0.25">
      <c r="A415" t="s">
        <v>835</v>
      </c>
      <c r="B415" t="s">
        <v>758</v>
      </c>
      <c r="C415" s="26">
        <v>110743.57</v>
      </c>
      <c r="D415" s="26">
        <v>34769.83</v>
      </c>
      <c r="E415" s="26">
        <v>2505.33</v>
      </c>
      <c r="F415" s="26">
        <v>32264.5</v>
      </c>
      <c r="G415" s="26">
        <v>143008.07</v>
      </c>
      <c r="H415" t="str">
        <f>_xlfn.XLOOKUP(A415,indice!A:A,indice!C:C)</f>
        <v>N</v>
      </c>
      <c r="I415" t="str">
        <f>_xlfn.XLOOKUP(A415,indice!A:A,indice!D:D)</f>
        <v>NÃO UTILIZAR</v>
      </c>
    </row>
    <row r="416" spans="1:9" x14ac:dyDescent="0.25">
      <c r="A416" t="s">
        <v>836</v>
      </c>
      <c r="B416" t="s">
        <v>837</v>
      </c>
      <c r="C416" s="26">
        <v>445758.97</v>
      </c>
      <c r="D416" s="26">
        <v>0</v>
      </c>
      <c r="E416" s="26">
        <v>0</v>
      </c>
      <c r="F416" s="26">
        <v>0</v>
      </c>
      <c r="G416" s="26">
        <v>445758.97</v>
      </c>
      <c r="H416" t="str">
        <f>_xlfn.XLOOKUP(A416,indice!A:A,indice!C:C)</f>
        <v>N</v>
      </c>
      <c r="I416" t="str">
        <f>_xlfn.XLOOKUP(A416,indice!A:A,indice!D:D)</f>
        <v>NÃO UTILIZAR</v>
      </c>
    </row>
    <row r="417" spans="1:9" x14ac:dyDescent="0.25">
      <c r="A417" t="s">
        <v>838</v>
      </c>
      <c r="B417" t="s">
        <v>764</v>
      </c>
      <c r="C417" s="26">
        <v>248.37</v>
      </c>
      <c r="D417" s="26">
        <v>0</v>
      </c>
      <c r="E417" s="26">
        <v>0</v>
      </c>
      <c r="F417" s="26">
        <v>0</v>
      </c>
      <c r="G417" s="26">
        <v>248.37</v>
      </c>
      <c r="H417" t="str">
        <f>_xlfn.XLOOKUP(A417,indice!A:A,indice!C:C)</f>
        <v>N</v>
      </c>
      <c r="I417" t="str">
        <f>_xlfn.XLOOKUP(A417,indice!A:A,indice!D:D)</f>
        <v>NÃO UTILIZAR</v>
      </c>
    </row>
    <row r="418" spans="1:9" x14ac:dyDescent="0.25">
      <c r="A418" t="s">
        <v>1115</v>
      </c>
      <c r="B418" t="s">
        <v>768</v>
      </c>
      <c r="C418" s="26">
        <v>46794.79</v>
      </c>
      <c r="D418" s="26">
        <v>0</v>
      </c>
      <c r="E418" s="26">
        <v>0</v>
      </c>
      <c r="F418" s="26">
        <v>0</v>
      </c>
      <c r="G418" s="26">
        <v>46794.79</v>
      </c>
      <c r="H418" t="str">
        <f>_xlfn.XLOOKUP(A418,indice!A:A,indice!C:C)</f>
        <v>N</v>
      </c>
      <c r="I418" t="str">
        <f>_xlfn.XLOOKUP(A418,indice!A:A,indice!D:D)</f>
        <v>NÃO UTILIZAR</v>
      </c>
    </row>
    <row r="419" spans="1:9" x14ac:dyDescent="0.25">
      <c r="A419" t="s">
        <v>1008</v>
      </c>
      <c r="B419" t="s">
        <v>774</v>
      </c>
      <c r="C419" s="26">
        <v>826.8</v>
      </c>
      <c r="D419" s="26">
        <v>0</v>
      </c>
      <c r="E419" s="26">
        <v>0</v>
      </c>
      <c r="F419" s="26">
        <v>0</v>
      </c>
      <c r="G419" s="26">
        <v>826.8</v>
      </c>
      <c r="H419" t="str">
        <f>_xlfn.XLOOKUP(A419,indice!A:A,indice!C:C)</f>
        <v>N</v>
      </c>
      <c r="I419" t="str">
        <f>_xlfn.XLOOKUP(A419,indice!A:A,indice!D:D)</f>
        <v>NÃO UTILIZAR</v>
      </c>
    </row>
    <row r="420" spans="1:9" x14ac:dyDescent="0.25">
      <c r="A420" t="s">
        <v>839</v>
      </c>
      <c r="B420" t="s">
        <v>776</v>
      </c>
      <c r="C420" s="26">
        <v>561.05999999999995</v>
      </c>
      <c r="D420" s="26">
        <v>0</v>
      </c>
      <c r="E420" s="26">
        <v>0</v>
      </c>
      <c r="F420" s="26">
        <v>0</v>
      </c>
      <c r="G420" s="26">
        <v>561.05999999999995</v>
      </c>
      <c r="H420" t="str">
        <f>_xlfn.XLOOKUP(A420,indice!A:A,indice!C:C)</f>
        <v>N</v>
      </c>
      <c r="I420" t="str">
        <f>_xlfn.XLOOKUP(A420,indice!A:A,indice!D:D)</f>
        <v>NÃO UTILIZAR</v>
      </c>
    </row>
    <row r="421" spans="1:9" x14ac:dyDescent="0.25">
      <c r="A421" t="s">
        <v>840</v>
      </c>
      <c r="B421" t="s">
        <v>841</v>
      </c>
      <c r="C421" s="26">
        <v>171406.86</v>
      </c>
      <c r="D421" s="26">
        <v>1851.12</v>
      </c>
      <c r="E421" s="26">
        <v>0</v>
      </c>
      <c r="F421" s="26">
        <v>1851.12</v>
      </c>
      <c r="G421" s="26">
        <v>173257.98</v>
      </c>
      <c r="H421" t="str">
        <f>_xlfn.XLOOKUP(A421,indice!A:A,indice!C:C)</f>
        <v>N</v>
      </c>
      <c r="I421" t="str">
        <f>_xlfn.XLOOKUP(A421,indice!A:A,indice!D:D)</f>
        <v>NÃO UTILIZAR</v>
      </c>
    </row>
    <row r="422" spans="1:9" x14ac:dyDescent="0.25">
      <c r="A422" t="s">
        <v>842</v>
      </c>
      <c r="B422" t="s">
        <v>843</v>
      </c>
      <c r="C422" s="26">
        <v>1050</v>
      </c>
      <c r="D422" s="26">
        <v>0</v>
      </c>
      <c r="E422" s="26">
        <v>0</v>
      </c>
      <c r="F422" s="26">
        <v>0</v>
      </c>
      <c r="G422" s="26">
        <v>1050</v>
      </c>
      <c r="H422" t="str">
        <f>_xlfn.XLOOKUP(A422,indice!A:A,indice!C:C)</f>
        <v>N</v>
      </c>
      <c r="I422" t="str">
        <f>_xlfn.XLOOKUP(A422,indice!A:A,indice!D:D)</f>
        <v>NÃO UTILIZAR</v>
      </c>
    </row>
    <row r="423" spans="1:9" x14ac:dyDescent="0.25">
      <c r="A423" t="s">
        <v>1056</v>
      </c>
      <c r="B423" t="s">
        <v>780</v>
      </c>
      <c r="C423" s="26">
        <v>55520.85</v>
      </c>
      <c r="D423" s="26">
        <v>0</v>
      </c>
      <c r="E423" s="26">
        <v>0</v>
      </c>
      <c r="F423" s="26">
        <v>0</v>
      </c>
      <c r="G423" s="26">
        <v>55520.85</v>
      </c>
      <c r="H423" t="str">
        <f>_xlfn.XLOOKUP(A423,indice!A:A,indice!C:C)</f>
        <v>N</v>
      </c>
      <c r="I423" t="str">
        <f>_xlfn.XLOOKUP(A423,indice!A:A,indice!D:D)</f>
        <v>NÃO UTILIZAR</v>
      </c>
    </row>
    <row r="424" spans="1:9" x14ac:dyDescent="0.25">
      <c r="A424" t="s">
        <v>844</v>
      </c>
      <c r="B424" t="s">
        <v>782</v>
      </c>
      <c r="C424" s="26">
        <v>4282.03</v>
      </c>
      <c r="D424" s="26">
        <v>0</v>
      </c>
      <c r="E424" s="26">
        <v>0</v>
      </c>
      <c r="F424" s="26">
        <v>0</v>
      </c>
      <c r="G424" s="26">
        <v>4282.03</v>
      </c>
      <c r="H424" t="str">
        <f>_xlfn.XLOOKUP(A424,indice!A:A,indice!C:C)</f>
        <v>N</v>
      </c>
      <c r="I424" t="str">
        <f>_xlfn.XLOOKUP(A424,indice!A:A,indice!D:D)</f>
        <v>NÃO UTILIZAR</v>
      </c>
    </row>
    <row r="425" spans="1:9" x14ac:dyDescent="0.25">
      <c r="A425" t="s">
        <v>845</v>
      </c>
      <c r="B425" t="s">
        <v>790</v>
      </c>
      <c r="C425" s="26">
        <v>11938.25</v>
      </c>
      <c r="D425" s="26">
        <v>0</v>
      </c>
      <c r="E425" s="26">
        <v>0</v>
      </c>
      <c r="F425" s="26">
        <v>0</v>
      </c>
      <c r="G425" s="26">
        <v>11938.25</v>
      </c>
      <c r="H425" t="str">
        <f>_xlfn.XLOOKUP(A425,indice!A:A,indice!C:C)</f>
        <v>N</v>
      </c>
      <c r="I425" t="str">
        <f>_xlfn.XLOOKUP(A425,indice!A:A,indice!D:D)</f>
        <v>NÃO UTILIZAR</v>
      </c>
    </row>
    <row r="426" spans="1:9" x14ac:dyDescent="0.25">
      <c r="A426" t="s">
        <v>1094</v>
      </c>
      <c r="B426" t="s">
        <v>792</v>
      </c>
      <c r="C426" s="26">
        <v>209.4</v>
      </c>
      <c r="D426" s="26">
        <v>0</v>
      </c>
      <c r="E426" s="26">
        <v>0</v>
      </c>
      <c r="F426" s="26">
        <v>0</v>
      </c>
      <c r="G426" s="26">
        <v>209.4</v>
      </c>
      <c r="H426" t="str">
        <f>_xlfn.XLOOKUP(A426,indice!A:A,indice!C:C)</f>
        <v>N</v>
      </c>
      <c r="I426" t="str">
        <f>_xlfn.XLOOKUP(A426,indice!A:A,indice!D:D)</f>
        <v>NÃO UTILIZAR</v>
      </c>
    </row>
    <row r="427" spans="1:9" x14ac:dyDescent="0.25">
      <c r="A427" t="s">
        <v>846</v>
      </c>
      <c r="B427" t="s">
        <v>794</v>
      </c>
      <c r="C427" s="26">
        <v>19427.07</v>
      </c>
      <c r="D427" s="26">
        <v>6475.69</v>
      </c>
      <c r="E427" s="26">
        <v>0</v>
      </c>
      <c r="F427" s="26">
        <v>6475.69</v>
      </c>
      <c r="G427" s="26">
        <v>25902.76</v>
      </c>
      <c r="H427" t="str">
        <f>_xlfn.XLOOKUP(A427,indice!A:A,indice!C:C)</f>
        <v>N</v>
      </c>
      <c r="I427" t="str">
        <f>_xlfn.XLOOKUP(A427,indice!A:A,indice!D:D)</f>
        <v>NÃO UTILIZAR</v>
      </c>
    </row>
    <row r="428" spans="1:9" x14ac:dyDescent="0.25">
      <c r="A428" t="s">
        <v>847</v>
      </c>
      <c r="B428" t="s">
        <v>848</v>
      </c>
      <c r="C428" s="26">
        <v>12.69</v>
      </c>
      <c r="D428" s="26">
        <v>0</v>
      </c>
      <c r="E428" s="26">
        <v>0</v>
      </c>
      <c r="F428" s="26">
        <v>0</v>
      </c>
      <c r="G428" s="26">
        <v>12.69</v>
      </c>
      <c r="H428" t="str">
        <f>_xlfn.XLOOKUP(A428,indice!A:A,indice!C:C)</f>
        <v>N</v>
      </c>
      <c r="I428" t="str">
        <f>_xlfn.XLOOKUP(A428,indice!A:A,indice!D:D)</f>
        <v>NÃO UTILIZAR</v>
      </c>
    </row>
    <row r="429" spans="1:9" x14ac:dyDescent="0.25">
      <c r="A429" t="s">
        <v>1088</v>
      </c>
      <c r="B429" t="s">
        <v>1089</v>
      </c>
      <c r="C429" s="26">
        <v>-52.74</v>
      </c>
      <c r="D429" s="26">
        <v>0</v>
      </c>
      <c r="E429" s="26">
        <v>0</v>
      </c>
      <c r="F429" s="26">
        <v>0</v>
      </c>
      <c r="G429" s="26">
        <v>-52.74</v>
      </c>
      <c r="H429" t="str">
        <f>_xlfn.XLOOKUP(A429,indice!A:A,indice!C:C)</f>
        <v>N</v>
      </c>
      <c r="I429" t="str">
        <f>_xlfn.XLOOKUP(A429,indice!A:A,indice!D:D)</f>
        <v>NÃO UTILIZAR</v>
      </c>
    </row>
    <row r="430" spans="1:9" x14ac:dyDescent="0.25">
      <c r="A430" t="s">
        <v>849</v>
      </c>
      <c r="B430" t="s">
        <v>804</v>
      </c>
      <c r="C430" s="26">
        <v>1662.23</v>
      </c>
      <c r="D430" s="26">
        <v>0</v>
      </c>
      <c r="E430" s="26">
        <v>0</v>
      </c>
      <c r="F430" s="26">
        <v>0</v>
      </c>
      <c r="G430" s="26">
        <v>1662.23</v>
      </c>
      <c r="H430" t="str">
        <f>_xlfn.XLOOKUP(A430,indice!A:A,indice!C:C)</f>
        <v>N</v>
      </c>
      <c r="I430" t="str">
        <f>_xlfn.XLOOKUP(A430,indice!A:A,indice!D:D)</f>
        <v>NÃO UTILIZAR</v>
      </c>
    </row>
    <row r="431" spans="1:9" x14ac:dyDescent="0.25">
      <c r="A431" t="s">
        <v>851</v>
      </c>
      <c r="B431" t="s">
        <v>852</v>
      </c>
      <c r="C431" s="26">
        <v>1365.64</v>
      </c>
      <c r="D431" s="26">
        <v>0</v>
      </c>
      <c r="E431" s="26">
        <v>0</v>
      </c>
      <c r="F431" s="26">
        <v>0</v>
      </c>
      <c r="G431" s="26">
        <v>1365.64</v>
      </c>
      <c r="H431" t="str">
        <f>_xlfn.XLOOKUP(A431,indice!A:A,indice!C:C)</f>
        <v>N</v>
      </c>
      <c r="I431" t="str">
        <f>_xlfn.XLOOKUP(A431,indice!A:A,indice!D:D)</f>
        <v>NÃO UTILIZAR</v>
      </c>
    </row>
    <row r="432" spans="1:9" x14ac:dyDescent="0.25">
      <c r="A432" t="s">
        <v>854</v>
      </c>
      <c r="B432" t="s">
        <v>814</v>
      </c>
      <c r="C432" s="26">
        <v>1137.1400000000001</v>
      </c>
      <c r="D432" s="26">
        <v>0</v>
      </c>
      <c r="E432" s="26">
        <v>0</v>
      </c>
      <c r="F432" s="26">
        <v>0</v>
      </c>
      <c r="G432" s="26">
        <v>1137.1400000000001</v>
      </c>
      <c r="H432" t="str">
        <f>_xlfn.XLOOKUP(A432,indice!A:A,indice!C:C)</f>
        <v>N</v>
      </c>
      <c r="I432" t="str">
        <f>_xlfn.XLOOKUP(A432,indice!A:A,indice!D:D)</f>
        <v>NÃO UTILIZAR</v>
      </c>
    </row>
    <row r="433" spans="1:9" x14ac:dyDescent="0.25">
      <c r="A433" t="s">
        <v>855</v>
      </c>
      <c r="B433" t="s">
        <v>816</v>
      </c>
      <c r="C433" s="26">
        <v>1565.27</v>
      </c>
      <c r="D433" s="26">
        <v>0</v>
      </c>
      <c r="E433" s="26">
        <v>0</v>
      </c>
      <c r="F433" s="26">
        <v>0</v>
      </c>
      <c r="G433" s="26">
        <v>1565.27</v>
      </c>
      <c r="H433" t="str">
        <f>_xlfn.XLOOKUP(A433,indice!A:A,indice!C:C)</f>
        <v>N</v>
      </c>
      <c r="I433" t="str">
        <f>_xlfn.XLOOKUP(A433,indice!A:A,indice!D:D)</f>
        <v>NÃO UTILIZAR</v>
      </c>
    </row>
    <row r="434" spans="1:9" x14ac:dyDescent="0.25">
      <c r="A434" t="s">
        <v>856</v>
      </c>
      <c r="B434" t="s">
        <v>857</v>
      </c>
      <c r="C434" s="26">
        <v>510041.52</v>
      </c>
      <c r="D434" s="26">
        <v>0</v>
      </c>
      <c r="E434" s="26">
        <v>0</v>
      </c>
      <c r="F434" s="26">
        <v>0</v>
      </c>
      <c r="G434" s="26">
        <v>510041.52</v>
      </c>
      <c r="H434" t="str">
        <f>_xlfn.XLOOKUP(A434,indice!A:A,indice!C:C)</f>
        <v>N</v>
      </c>
      <c r="I434" t="str">
        <f>_xlfn.XLOOKUP(A434,indice!A:A,indice!D:D)</f>
        <v>NÃO UTILIZAR</v>
      </c>
    </row>
    <row r="435" spans="1:9" x14ac:dyDescent="0.25">
      <c r="A435" t="s">
        <v>858</v>
      </c>
      <c r="B435" t="s">
        <v>820</v>
      </c>
      <c r="C435" s="26">
        <v>1938.38</v>
      </c>
      <c r="D435" s="26">
        <v>0</v>
      </c>
      <c r="E435" s="26">
        <v>0</v>
      </c>
      <c r="F435" s="26">
        <v>0</v>
      </c>
      <c r="G435" s="26">
        <v>1938.38</v>
      </c>
      <c r="H435" t="str">
        <f>_xlfn.XLOOKUP(A435,indice!A:A,indice!C:C)</f>
        <v>N</v>
      </c>
      <c r="I435" t="str">
        <f>_xlfn.XLOOKUP(A435,indice!A:A,indice!D:D)</f>
        <v>NÃO UTILIZAR</v>
      </c>
    </row>
    <row r="436" spans="1:9" x14ac:dyDescent="0.25">
      <c r="A436" t="s">
        <v>859</v>
      </c>
      <c r="B436" t="s">
        <v>860</v>
      </c>
      <c r="C436" s="26">
        <v>165635.67000000001</v>
      </c>
      <c r="D436" s="26">
        <v>0</v>
      </c>
      <c r="E436" s="26">
        <v>0</v>
      </c>
      <c r="F436" s="26">
        <v>0</v>
      </c>
      <c r="G436" s="26">
        <v>165635.67000000001</v>
      </c>
      <c r="H436" t="str">
        <f>_xlfn.XLOOKUP(A436,indice!A:A,indice!C:C)</f>
        <v>N</v>
      </c>
      <c r="I436" t="str">
        <f>_xlfn.XLOOKUP(A436,indice!A:A,indice!D:D)</f>
        <v>NÃO UTILIZAR</v>
      </c>
    </row>
    <row r="437" spans="1:9" x14ac:dyDescent="0.25">
      <c r="A437" t="s">
        <v>863</v>
      </c>
      <c r="B437" t="s">
        <v>864</v>
      </c>
      <c r="C437" s="26">
        <v>1230560.1499999999</v>
      </c>
      <c r="D437" s="26">
        <v>0</v>
      </c>
      <c r="E437" s="26">
        <v>0</v>
      </c>
      <c r="F437" s="26">
        <v>0</v>
      </c>
      <c r="G437" s="26">
        <v>1230560.1499999999</v>
      </c>
      <c r="H437" t="str">
        <f>_xlfn.XLOOKUP(A437,indice!A:A,indice!C:C)</f>
        <v>N</v>
      </c>
      <c r="I437" t="str">
        <f>_xlfn.XLOOKUP(A437,indice!A:A,indice!D:D)</f>
        <v>NÃO UTILIZAR</v>
      </c>
    </row>
    <row r="438" spans="1:9" x14ac:dyDescent="0.25">
      <c r="A438" t="s">
        <v>1057</v>
      </c>
      <c r="B438" t="s">
        <v>1058</v>
      </c>
      <c r="C438" s="26">
        <v>12078.18</v>
      </c>
      <c r="D438" s="26">
        <v>0</v>
      </c>
      <c r="E438" s="26">
        <v>0</v>
      </c>
      <c r="F438" s="26">
        <v>0</v>
      </c>
      <c r="G438" s="26">
        <v>12078.18</v>
      </c>
      <c r="H438" t="str">
        <f>_xlfn.XLOOKUP(A438,indice!A:A,indice!C:C)</f>
        <v>N</v>
      </c>
      <c r="I438" t="str">
        <f>_xlfn.XLOOKUP(A438,indice!A:A,indice!D:D)</f>
        <v>NÃO UTILIZAR</v>
      </c>
    </row>
    <row r="439" spans="1:9" x14ac:dyDescent="0.25">
      <c r="A439" t="s">
        <v>865</v>
      </c>
      <c r="B439" t="s">
        <v>866</v>
      </c>
      <c r="C439" s="26">
        <v>6189335.3600000003</v>
      </c>
      <c r="D439" s="26">
        <v>1702492.42</v>
      </c>
      <c r="E439" s="26">
        <v>35056.15</v>
      </c>
      <c r="F439" s="26">
        <v>1667436.27</v>
      </c>
      <c r="G439" s="26">
        <v>7856771.6299999999</v>
      </c>
      <c r="H439" t="str">
        <f>_xlfn.XLOOKUP(A439,indice!A:A,indice!C:C)</f>
        <v>N</v>
      </c>
      <c r="I439" t="str">
        <f>_xlfn.XLOOKUP(A439,indice!A:A,indice!D:D)</f>
        <v>NÃO UTILIZAR</v>
      </c>
    </row>
    <row r="440" spans="1:9" x14ac:dyDescent="0.25">
      <c r="A440" t="s">
        <v>867</v>
      </c>
      <c r="B440" t="s">
        <v>736</v>
      </c>
      <c r="C440" s="26">
        <v>1417589.96</v>
      </c>
      <c r="D440" s="26">
        <v>440681.78</v>
      </c>
      <c r="E440" s="26">
        <v>142.19999999999999</v>
      </c>
      <c r="F440" s="26">
        <v>440539.58</v>
      </c>
      <c r="G440" s="26">
        <v>1858129.54</v>
      </c>
      <c r="H440" t="str">
        <f>_xlfn.XLOOKUP(A440,indice!A:A,indice!C:C)</f>
        <v>N</v>
      </c>
      <c r="I440" t="str">
        <f>_xlfn.XLOOKUP(A440,indice!A:A,indice!D:D)</f>
        <v>NÃO UTILIZAR</v>
      </c>
    </row>
    <row r="441" spans="1:9" x14ac:dyDescent="0.25">
      <c r="A441" t="s">
        <v>868</v>
      </c>
      <c r="B441" t="s">
        <v>738</v>
      </c>
      <c r="C441" s="26">
        <v>157107.51</v>
      </c>
      <c r="D441" s="26">
        <v>49645.42</v>
      </c>
      <c r="E441" s="26">
        <v>0</v>
      </c>
      <c r="F441" s="26">
        <v>49645.42</v>
      </c>
      <c r="G441" s="26">
        <v>206752.93</v>
      </c>
      <c r="H441" t="str">
        <f>_xlfn.XLOOKUP(A441,indice!A:A,indice!C:C)</f>
        <v>N</v>
      </c>
      <c r="I441" t="str">
        <f>_xlfn.XLOOKUP(A441,indice!A:A,indice!D:D)</f>
        <v>NÃO UTILIZAR</v>
      </c>
    </row>
    <row r="442" spans="1:9" x14ac:dyDescent="0.25">
      <c r="A442" t="s">
        <v>869</v>
      </c>
      <c r="B442" t="s">
        <v>740</v>
      </c>
      <c r="C442" s="26">
        <v>211406.64</v>
      </c>
      <c r="D442" s="26">
        <v>65928.92</v>
      </c>
      <c r="E442" s="26">
        <v>1630.74</v>
      </c>
      <c r="F442" s="26">
        <v>64298.18</v>
      </c>
      <c r="G442" s="26">
        <v>275704.82</v>
      </c>
      <c r="H442" t="str">
        <f>_xlfn.XLOOKUP(A442,indice!A:A,indice!C:C)</f>
        <v>N</v>
      </c>
      <c r="I442" t="str">
        <f>_xlfn.XLOOKUP(A442,indice!A:A,indice!D:D)</f>
        <v>NÃO UTILIZAR</v>
      </c>
    </row>
    <row r="443" spans="1:9" x14ac:dyDescent="0.25">
      <c r="A443" t="s">
        <v>870</v>
      </c>
      <c r="B443" t="s">
        <v>871</v>
      </c>
      <c r="C443" s="26">
        <v>178393.56</v>
      </c>
      <c r="D443" s="26">
        <v>59464.52</v>
      </c>
      <c r="E443" s="26">
        <v>0</v>
      </c>
      <c r="F443" s="26">
        <v>59464.52</v>
      </c>
      <c r="G443" s="26">
        <v>237858.08</v>
      </c>
      <c r="H443" t="str">
        <f>_xlfn.XLOOKUP(A443,indice!A:A,indice!C:C)</f>
        <v>N</v>
      </c>
      <c r="I443" t="str">
        <f>_xlfn.XLOOKUP(A443,indice!A:A,indice!D:D)</f>
        <v>NÃO UTILIZAR</v>
      </c>
    </row>
    <row r="444" spans="1:9" x14ac:dyDescent="0.25">
      <c r="A444" t="s">
        <v>872</v>
      </c>
      <c r="B444" t="s">
        <v>501</v>
      </c>
      <c r="C444" s="26">
        <v>54270.77</v>
      </c>
      <c r="D444" s="26">
        <v>18490.3</v>
      </c>
      <c r="E444" s="26">
        <v>94.58</v>
      </c>
      <c r="F444" s="26">
        <v>18395.72</v>
      </c>
      <c r="G444" s="26">
        <v>72666.490000000005</v>
      </c>
      <c r="H444" t="str">
        <f>_xlfn.XLOOKUP(A444,indice!A:A,indice!C:C)</f>
        <v>N</v>
      </c>
      <c r="I444" t="str">
        <f>_xlfn.XLOOKUP(A444,indice!A:A,indice!D:D)</f>
        <v>NÃO UTILIZAR</v>
      </c>
    </row>
    <row r="445" spans="1:9" x14ac:dyDescent="0.25">
      <c r="A445" t="s">
        <v>873</v>
      </c>
      <c r="B445" t="s">
        <v>503</v>
      </c>
      <c r="C445" s="26">
        <v>153520.75</v>
      </c>
      <c r="D445" s="26">
        <v>47257.49</v>
      </c>
      <c r="E445" s="26">
        <v>130.46</v>
      </c>
      <c r="F445" s="26">
        <v>47127.03</v>
      </c>
      <c r="G445" s="26">
        <v>200647.78</v>
      </c>
      <c r="H445" t="str">
        <f>_xlfn.XLOOKUP(A445,indice!A:A,indice!C:C)</f>
        <v>N</v>
      </c>
      <c r="I445" t="str">
        <f>_xlfn.XLOOKUP(A445,indice!A:A,indice!D:D)</f>
        <v>NÃO UTILIZAR</v>
      </c>
    </row>
    <row r="446" spans="1:9" x14ac:dyDescent="0.25">
      <c r="A446" t="s">
        <v>874</v>
      </c>
      <c r="B446" t="s">
        <v>875</v>
      </c>
      <c r="C446" s="26">
        <v>15000</v>
      </c>
      <c r="D446" s="26">
        <v>0</v>
      </c>
      <c r="E446" s="26">
        <v>0</v>
      </c>
      <c r="F446" s="26">
        <v>0</v>
      </c>
      <c r="G446" s="26">
        <v>15000</v>
      </c>
      <c r="H446" t="str">
        <f>_xlfn.XLOOKUP(A446,indice!A:A,indice!C:C)</f>
        <v>N</v>
      </c>
      <c r="I446" t="str">
        <f>_xlfn.XLOOKUP(A446,indice!A:A,indice!D:D)</f>
        <v>NÃO UTILIZAR</v>
      </c>
    </row>
    <row r="447" spans="1:9" x14ac:dyDescent="0.25">
      <c r="A447" t="s">
        <v>876</v>
      </c>
      <c r="B447" t="s">
        <v>744</v>
      </c>
      <c r="C447" s="26">
        <v>71697.53</v>
      </c>
      <c r="D447" s="26">
        <v>12718.31</v>
      </c>
      <c r="E447" s="26">
        <v>0</v>
      </c>
      <c r="F447" s="26">
        <v>12718.31</v>
      </c>
      <c r="G447" s="26">
        <v>84415.84</v>
      </c>
      <c r="H447" t="str">
        <f>_xlfn.XLOOKUP(A447,indice!A:A,indice!C:C)</f>
        <v>N</v>
      </c>
      <c r="I447" t="str">
        <f>_xlfn.XLOOKUP(A447,indice!A:A,indice!D:D)</f>
        <v>NÃO UTILIZAR</v>
      </c>
    </row>
    <row r="448" spans="1:9" x14ac:dyDescent="0.25">
      <c r="A448" t="s">
        <v>877</v>
      </c>
      <c r="B448" t="s">
        <v>878</v>
      </c>
      <c r="C448" s="26">
        <v>14717.36</v>
      </c>
      <c r="D448" s="26">
        <v>11809.86</v>
      </c>
      <c r="E448" s="26">
        <v>0</v>
      </c>
      <c r="F448" s="26">
        <v>11809.86</v>
      </c>
      <c r="G448" s="26">
        <v>26527.22</v>
      </c>
      <c r="H448" t="str">
        <f>_xlfn.XLOOKUP(A448,indice!A:A,indice!C:C)</f>
        <v>N</v>
      </c>
      <c r="I448" t="str">
        <f>_xlfn.XLOOKUP(A448,indice!A:A,indice!D:D)</f>
        <v>NÃO UTILIZAR</v>
      </c>
    </row>
    <row r="449" spans="1:9" x14ac:dyDescent="0.25">
      <c r="A449" t="s">
        <v>879</v>
      </c>
      <c r="B449" t="s">
        <v>880</v>
      </c>
      <c r="C449" s="26">
        <v>3500</v>
      </c>
      <c r="D449" s="26">
        <v>0</v>
      </c>
      <c r="E449" s="26">
        <v>0</v>
      </c>
      <c r="F449" s="26">
        <v>0</v>
      </c>
      <c r="G449" s="26">
        <v>3500</v>
      </c>
      <c r="H449" t="str">
        <f>_xlfn.XLOOKUP(A449,indice!A:A,indice!C:C)</f>
        <v>N</v>
      </c>
      <c r="I449" t="str">
        <f>_xlfn.XLOOKUP(A449,indice!A:A,indice!D:D)</f>
        <v>NÃO UTILIZAR</v>
      </c>
    </row>
    <row r="450" spans="1:9" x14ac:dyDescent="0.25">
      <c r="A450" t="s">
        <v>881</v>
      </c>
      <c r="B450" t="s">
        <v>882</v>
      </c>
      <c r="C450" s="26">
        <v>388.54</v>
      </c>
      <c r="D450" s="26">
        <v>0</v>
      </c>
      <c r="E450" s="26">
        <v>0</v>
      </c>
      <c r="F450" s="26">
        <v>0</v>
      </c>
      <c r="G450" s="26">
        <v>388.54</v>
      </c>
      <c r="H450" t="str">
        <f>_xlfn.XLOOKUP(A450,indice!A:A,indice!C:C)</f>
        <v>N</v>
      </c>
      <c r="I450" t="str">
        <f>_xlfn.XLOOKUP(A450,indice!A:A,indice!D:D)</f>
        <v>NÃO UTILIZAR</v>
      </c>
    </row>
    <row r="451" spans="1:9" x14ac:dyDescent="0.25">
      <c r="A451" t="s">
        <v>883</v>
      </c>
      <c r="B451" t="s">
        <v>746</v>
      </c>
      <c r="C451" s="26">
        <v>425542.08</v>
      </c>
      <c r="D451" s="26">
        <v>46667.14</v>
      </c>
      <c r="E451" s="26">
        <v>0</v>
      </c>
      <c r="F451" s="26">
        <v>46667.14</v>
      </c>
      <c r="G451" s="26">
        <v>472209.22</v>
      </c>
      <c r="H451" t="str">
        <f>_xlfn.XLOOKUP(A451,indice!A:A,indice!C:C)</f>
        <v>N</v>
      </c>
      <c r="I451" t="str">
        <f>_xlfn.XLOOKUP(A451,indice!A:A,indice!D:D)</f>
        <v>NÃO UTILIZAR</v>
      </c>
    </row>
    <row r="452" spans="1:9" x14ac:dyDescent="0.25">
      <c r="A452" t="s">
        <v>884</v>
      </c>
      <c r="B452" t="s">
        <v>748</v>
      </c>
      <c r="C452" s="26">
        <v>1829</v>
      </c>
      <c r="D452" s="26">
        <v>299.60000000000002</v>
      </c>
      <c r="E452" s="26">
        <v>0</v>
      </c>
      <c r="F452" s="26">
        <v>299.60000000000002</v>
      </c>
      <c r="G452" s="26">
        <v>2128.6</v>
      </c>
      <c r="H452" t="str">
        <f>_xlfn.XLOOKUP(A452,indice!A:A,indice!C:C)</f>
        <v>N</v>
      </c>
      <c r="I452" t="str">
        <f>_xlfn.XLOOKUP(A452,indice!A:A,indice!D:D)</f>
        <v>NÃO UTILIZAR</v>
      </c>
    </row>
    <row r="453" spans="1:9" x14ac:dyDescent="0.25">
      <c r="A453" t="s">
        <v>885</v>
      </c>
      <c r="B453" t="s">
        <v>750</v>
      </c>
      <c r="C453" s="26">
        <v>2314</v>
      </c>
      <c r="D453" s="26">
        <v>5000</v>
      </c>
      <c r="E453" s="26">
        <v>0</v>
      </c>
      <c r="F453" s="26">
        <v>5000</v>
      </c>
      <c r="G453" s="26">
        <v>7314</v>
      </c>
      <c r="H453" t="str">
        <f>_xlfn.XLOOKUP(A453,indice!A:A,indice!C:C)</f>
        <v>N</v>
      </c>
      <c r="I453" t="str">
        <f>_xlfn.XLOOKUP(A453,indice!A:A,indice!D:D)</f>
        <v>NÃO UTILIZAR</v>
      </c>
    </row>
    <row r="454" spans="1:9" x14ac:dyDescent="0.25">
      <c r="A454" t="s">
        <v>886</v>
      </c>
      <c r="B454" t="s">
        <v>887</v>
      </c>
      <c r="C454" s="26">
        <v>3067.36</v>
      </c>
      <c r="D454" s="26">
        <v>9514.6299999999992</v>
      </c>
      <c r="E454" s="26">
        <v>0</v>
      </c>
      <c r="F454" s="26">
        <v>9514.6299999999992</v>
      </c>
      <c r="G454" s="26">
        <v>12581.99</v>
      </c>
      <c r="H454" t="str">
        <f>_xlfn.XLOOKUP(A454,indice!A:A,indice!C:C)</f>
        <v>N</v>
      </c>
      <c r="I454" t="str">
        <f>_xlfn.XLOOKUP(A454,indice!A:A,indice!D:D)</f>
        <v>NÃO UTILIZAR</v>
      </c>
    </row>
    <row r="455" spans="1:9" x14ac:dyDescent="0.25">
      <c r="A455" t="s">
        <v>888</v>
      </c>
      <c r="B455" t="s">
        <v>754</v>
      </c>
      <c r="C455" s="26">
        <v>264.95999999999998</v>
      </c>
      <c r="D455" s="26">
        <v>28</v>
      </c>
      <c r="E455" s="26">
        <v>0</v>
      </c>
      <c r="F455" s="26">
        <v>28</v>
      </c>
      <c r="G455" s="26">
        <v>292.95999999999998</v>
      </c>
      <c r="H455" t="str">
        <f>_xlfn.XLOOKUP(A455,indice!A:A,indice!C:C)</f>
        <v>N</v>
      </c>
      <c r="I455" t="str">
        <f>_xlfn.XLOOKUP(A455,indice!A:A,indice!D:D)</f>
        <v>NÃO UTILIZAR</v>
      </c>
    </row>
    <row r="456" spans="1:9" x14ac:dyDescent="0.25">
      <c r="A456" t="s">
        <v>890</v>
      </c>
      <c r="B456" t="s">
        <v>758</v>
      </c>
      <c r="C456" s="26">
        <v>1643877.14</v>
      </c>
      <c r="D456" s="26">
        <v>562591.37</v>
      </c>
      <c r="E456" s="26">
        <v>914.4</v>
      </c>
      <c r="F456" s="26">
        <v>561676.97</v>
      </c>
      <c r="G456" s="26">
        <v>2205554.11</v>
      </c>
      <c r="H456" t="str">
        <f>_xlfn.XLOOKUP(A456,indice!A:A,indice!C:C)</f>
        <v>N</v>
      </c>
      <c r="I456" t="str">
        <f>_xlfn.XLOOKUP(A456,indice!A:A,indice!D:D)</f>
        <v>NÃO UTILIZAR</v>
      </c>
    </row>
    <row r="457" spans="1:9" x14ac:dyDescent="0.25">
      <c r="A457" t="s">
        <v>891</v>
      </c>
      <c r="B457" t="s">
        <v>762</v>
      </c>
      <c r="C457" s="26">
        <v>1224</v>
      </c>
      <c r="D457" s="26">
        <v>0</v>
      </c>
      <c r="E457" s="26">
        <v>0</v>
      </c>
      <c r="F457" s="26">
        <v>0</v>
      </c>
      <c r="G457" s="26">
        <v>1224</v>
      </c>
      <c r="H457" t="str">
        <f>_xlfn.XLOOKUP(A457,indice!A:A,indice!C:C)</f>
        <v>N</v>
      </c>
      <c r="I457" t="str">
        <f>_xlfn.XLOOKUP(A457,indice!A:A,indice!D:D)</f>
        <v>NÃO UTILIZAR</v>
      </c>
    </row>
    <row r="458" spans="1:9" x14ac:dyDescent="0.25">
      <c r="A458" t="s">
        <v>892</v>
      </c>
      <c r="B458" t="s">
        <v>893</v>
      </c>
      <c r="C458" s="26">
        <v>8591.66</v>
      </c>
      <c r="D458" s="26">
        <v>2863.88</v>
      </c>
      <c r="E458" s="26">
        <v>0</v>
      </c>
      <c r="F458" s="26">
        <v>2863.88</v>
      </c>
      <c r="G458" s="26">
        <v>11455.54</v>
      </c>
      <c r="H458" t="str">
        <f>_xlfn.XLOOKUP(A458,indice!A:A,indice!C:C)</f>
        <v>N</v>
      </c>
      <c r="I458" t="str">
        <f>_xlfn.XLOOKUP(A458,indice!A:A,indice!D:D)</f>
        <v>NÃO UTILIZAR</v>
      </c>
    </row>
    <row r="459" spans="1:9" x14ac:dyDescent="0.25">
      <c r="A459" t="s">
        <v>894</v>
      </c>
      <c r="B459" t="s">
        <v>764</v>
      </c>
      <c r="C459" s="26">
        <v>20657.3</v>
      </c>
      <c r="D459" s="26">
        <v>0</v>
      </c>
      <c r="E459" s="26">
        <v>0</v>
      </c>
      <c r="F459" s="26">
        <v>0</v>
      </c>
      <c r="G459" s="26">
        <v>20657.3</v>
      </c>
      <c r="H459" t="str">
        <f>_xlfn.XLOOKUP(A459,indice!A:A,indice!C:C)</f>
        <v>N</v>
      </c>
      <c r="I459" t="str">
        <f>_xlfn.XLOOKUP(A459,indice!A:A,indice!D:D)</f>
        <v>NÃO UTILIZAR</v>
      </c>
    </row>
    <row r="460" spans="1:9" x14ac:dyDescent="0.25">
      <c r="A460" t="s">
        <v>895</v>
      </c>
      <c r="B460" t="s">
        <v>766</v>
      </c>
      <c r="C460" s="26">
        <v>8861.86</v>
      </c>
      <c r="D460" s="26">
        <v>3374.56</v>
      </c>
      <c r="E460" s="26">
        <v>312.14999999999998</v>
      </c>
      <c r="F460" s="26">
        <v>3062.41</v>
      </c>
      <c r="G460" s="26">
        <v>11924.27</v>
      </c>
      <c r="H460" t="str">
        <f>_xlfn.XLOOKUP(A460,indice!A:A,indice!C:C)</f>
        <v>N</v>
      </c>
      <c r="I460" t="str">
        <f>_xlfn.XLOOKUP(A460,indice!A:A,indice!D:D)</f>
        <v>NÃO UTILIZAR</v>
      </c>
    </row>
    <row r="461" spans="1:9" x14ac:dyDescent="0.25">
      <c r="A461" t="s">
        <v>896</v>
      </c>
      <c r="B461" t="s">
        <v>768</v>
      </c>
      <c r="C461" s="26">
        <v>6806.25</v>
      </c>
      <c r="D461" s="26">
        <v>0</v>
      </c>
      <c r="E461" s="26">
        <v>0</v>
      </c>
      <c r="F461" s="26">
        <v>0</v>
      </c>
      <c r="G461" s="26">
        <v>6806.25</v>
      </c>
      <c r="H461" t="str">
        <f>_xlfn.XLOOKUP(A461,indice!A:A,indice!C:C)</f>
        <v>N</v>
      </c>
      <c r="I461" t="str">
        <f>_xlfn.XLOOKUP(A461,indice!A:A,indice!D:D)</f>
        <v>NÃO UTILIZAR</v>
      </c>
    </row>
    <row r="462" spans="1:9" x14ac:dyDescent="0.25">
      <c r="A462" t="s">
        <v>897</v>
      </c>
      <c r="B462" t="s">
        <v>770</v>
      </c>
      <c r="C462" s="26">
        <v>538.94000000000005</v>
      </c>
      <c r="D462" s="26">
        <v>184.84</v>
      </c>
      <c r="E462" s="26">
        <v>0</v>
      </c>
      <c r="F462" s="26">
        <v>184.84</v>
      </c>
      <c r="G462" s="26">
        <v>723.78</v>
      </c>
      <c r="H462" t="str">
        <f>_xlfn.XLOOKUP(A462,indice!A:A,indice!C:C)</f>
        <v>N</v>
      </c>
      <c r="I462" t="str">
        <f>_xlfn.XLOOKUP(A462,indice!A:A,indice!D:D)</f>
        <v>NÃO UTILIZAR</v>
      </c>
    </row>
    <row r="463" spans="1:9" x14ac:dyDescent="0.25">
      <c r="A463" t="s">
        <v>898</v>
      </c>
      <c r="B463" t="s">
        <v>772</v>
      </c>
      <c r="C463" s="26">
        <v>42389.23</v>
      </c>
      <c r="D463" s="26">
        <v>8737.82</v>
      </c>
      <c r="E463" s="26">
        <v>0</v>
      </c>
      <c r="F463" s="26">
        <v>8737.82</v>
      </c>
      <c r="G463" s="26">
        <v>51127.05</v>
      </c>
      <c r="H463" t="str">
        <f>_xlfn.XLOOKUP(A463,indice!A:A,indice!C:C)</f>
        <v>N</v>
      </c>
      <c r="I463" t="str">
        <f>_xlfn.XLOOKUP(A463,indice!A:A,indice!D:D)</f>
        <v>NÃO UTILIZAR</v>
      </c>
    </row>
    <row r="464" spans="1:9" x14ac:dyDescent="0.25">
      <c r="A464" t="s">
        <v>899</v>
      </c>
      <c r="B464" t="s">
        <v>900</v>
      </c>
      <c r="C464" s="26">
        <v>764.63</v>
      </c>
      <c r="D464" s="26">
        <v>512.39</v>
      </c>
      <c r="E464" s="26">
        <v>0</v>
      </c>
      <c r="F464" s="26">
        <v>512.39</v>
      </c>
      <c r="G464" s="26">
        <v>1277.02</v>
      </c>
      <c r="H464" t="str">
        <f>_xlfn.XLOOKUP(A464,indice!A:A,indice!C:C)</f>
        <v>N</v>
      </c>
      <c r="I464" t="str">
        <f>_xlfn.XLOOKUP(A464,indice!A:A,indice!D:D)</f>
        <v>NÃO UTILIZAR</v>
      </c>
    </row>
    <row r="465" spans="1:9" x14ac:dyDescent="0.25">
      <c r="A465" t="s">
        <v>901</v>
      </c>
      <c r="B465" t="s">
        <v>902</v>
      </c>
      <c r="C465" s="26">
        <v>33150.76</v>
      </c>
      <c r="D465" s="26">
        <v>5452.82</v>
      </c>
      <c r="E465" s="26">
        <v>0</v>
      </c>
      <c r="F465" s="26">
        <v>5452.82</v>
      </c>
      <c r="G465" s="26">
        <v>38603.58</v>
      </c>
      <c r="H465" t="str">
        <f>_xlfn.XLOOKUP(A465,indice!A:A,indice!C:C)</f>
        <v>N</v>
      </c>
      <c r="I465" t="str">
        <f>_xlfn.XLOOKUP(A465,indice!A:A,indice!D:D)</f>
        <v>NÃO UTILIZAR</v>
      </c>
    </row>
    <row r="466" spans="1:9" x14ac:dyDescent="0.25">
      <c r="A466" t="s">
        <v>903</v>
      </c>
      <c r="B466" t="s">
        <v>774</v>
      </c>
      <c r="C466" s="26">
        <v>402.72</v>
      </c>
      <c r="D466" s="26">
        <v>321.64</v>
      </c>
      <c r="E466" s="26">
        <v>0</v>
      </c>
      <c r="F466" s="26">
        <v>321.64</v>
      </c>
      <c r="G466" s="26">
        <v>724.36</v>
      </c>
      <c r="H466" t="str">
        <f>_xlfn.XLOOKUP(A466,indice!A:A,indice!C:C)</f>
        <v>N</v>
      </c>
      <c r="I466" t="str">
        <f>_xlfn.XLOOKUP(A466,indice!A:A,indice!D:D)</f>
        <v>NÃO UTILIZAR</v>
      </c>
    </row>
    <row r="467" spans="1:9" x14ac:dyDescent="0.25">
      <c r="A467" t="s">
        <v>904</v>
      </c>
      <c r="B467" t="s">
        <v>905</v>
      </c>
      <c r="C467" s="26">
        <v>210616.18</v>
      </c>
      <c r="D467" s="26">
        <v>247.5</v>
      </c>
      <c r="E467" s="26">
        <v>0</v>
      </c>
      <c r="F467" s="26">
        <v>247.5</v>
      </c>
      <c r="G467" s="26">
        <v>210863.68</v>
      </c>
      <c r="H467" t="str">
        <f>_xlfn.XLOOKUP(A467,indice!A:A,indice!C:C)</f>
        <v>N</v>
      </c>
      <c r="I467" t="str">
        <f>_xlfn.XLOOKUP(A467,indice!A:A,indice!D:D)</f>
        <v>NÃO UTILIZAR</v>
      </c>
    </row>
    <row r="468" spans="1:9" x14ac:dyDescent="0.25">
      <c r="A468" t="s">
        <v>906</v>
      </c>
      <c r="B468" t="s">
        <v>907</v>
      </c>
      <c r="C468" s="26">
        <v>5287.65</v>
      </c>
      <c r="D468" s="26">
        <v>0</v>
      </c>
      <c r="E468" s="26">
        <v>0</v>
      </c>
      <c r="F468" s="26">
        <v>0</v>
      </c>
      <c r="G468" s="26">
        <v>5287.65</v>
      </c>
      <c r="H468" t="str">
        <f>_xlfn.XLOOKUP(A468,indice!A:A,indice!C:C)</f>
        <v>N</v>
      </c>
      <c r="I468" t="str">
        <f>_xlfn.XLOOKUP(A468,indice!A:A,indice!D:D)</f>
        <v>NÃO UTILIZAR</v>
      </c>
    </row>
    <row r="469" spans="1:9" x14ac:dyDescent="0.25">
      <c r="A469" t="s">
        <v>908</v>
      </c>
      <c r="B469" t="s">
        <v>776</v>
      </c>
      <c r="C469" s="26">
        <v>18229.18</v>
      </c>
      <c r="D469" s="26">
        <v>4138.33</v>
      </c>
      <c r="E469" s="26">
        <v>0</v>
      </c>
      <c r="F469" s="26">
        <v>4138.33</v>
      </c>
      <c r="G469" s="26">
        <v>22367.51</v>
      </c>
      <c r="H469" t="str">
        <f>_xlfn.XLOOKUP(A469,indice!A:A,indice!C:C)</f>
        <v>N</v>
      </c>
      <c r="I469" t="str">
        <f>_xlfn.XLOOKUP(A469,indice!A:A,indice!D:D)</f>
        <v>NÃO UTILIZAR</v>
      </c>
    </row>
    <row r="470" spans="1:9" x14ac:dyDescent="0.25">
      <c r="A470" t="s">
        <v>909</v>
      </c>
      <c r="B470" t="s">
        <v>778</v>
      </c>
      <c r="C470" s="26">
        <v>144984.1</v>
      </c>
      <c r="D470" s="26">
        <v>21684.17</v>
      </c>
      <c r="E470" s="26">
        <v>0</v>
      </c>
      <c r="F470" s="26">
        <v>21684.17</v>
      </c>
      <c r="G470" s="26">
        <v>166668.26999999999</v>
      </c>
      <c r="H470" t="str">
        <f>_xlfn.XLOOKUP(A470,indice!A:A,indice!C:C)</f>
        <v>N</v>
      </c>
      <c r="I470" t="str">
        <f>_xlfn.XLOOKUP(A470,indice!A:A,indice!D:D)</f>
        <v>NÃO UTILIZAR</v>
      </c>
    </row>
    <row r="471" spans="1:9" x14ac:dyDescent="0.25">
      <c r="A471" t="s">
        <v>910</v>
      </c>
      <c r="B471" t="s">
        <v>911</v>
      </c>
      <c r="C471" s="26">
        <v>28668.7</v>
      </c>
      <c r="D471" s="26">
        <v>29202.15</v>
      </c>
      <c r="E471" s="26">
        <v>0</v>
      </c>
      <c r="F471" s="26">
        <v>29202.15</v>
      </c>
      <c r="G471" s="26">
        <v>57870.85</v>
      </c>
      <c r="H471" t="str">
        <f>_xlfn.XLOOKUP(A471,indice!A:A,indice!C:C)</f>
        <v>N</v>
      </c>
      <c r="I471" t="str">
        <f>_xlfn.XLOOKUP(A471,indice!A:A,indice!D:D)</f>
        <v>NÃO UTILIZAR</v>
      </c>
    </row>
    <row r="472" spans="1:9" x14ac:dyDescent="0.25">
      <c r="A472" t="s">
        <v>912</v>
      </c>
      <c r="B472" t="s">
        <v>843</v>
      </c>
      <c r="C472" s="26">
        <v>969.4</v>
      </c>
      <c r="D472" s="26">
        <v>0</v>
      </c>
      <c r="E472" s="26">
        <v>0</v>
      </c>
      <c r="F472" s="26">
        <v>0</v>
      </c>
      <c r="G472" s="26">
        <v>969.4</v>
      </c>
      <c r="H472" t="str">
        <f>_xlfn.XLOOKUP(A472,indice!A:A,indice!C:C)</f>
        <v>N</v>
      </c>
      <c r="I472" t="str">
        <f>_xlfn.XLOOKUP(A472,indice!A:A,indice!D:D)</f>
        <v>NÃO UTILIZAR</v>
      </c>
    </row>
    <row r="473" spans="1:9" x14ac:dyDescent="0.25">
      <c r="A473" t="s">
        <v>913</v>
      </c>
      <c r="B473" t="s">
        <v>790</v>
      </c>
      <c r="C473" s="26">
        <v>21638.19</v>
      </c>
      <c r="D473" s="26">
        <v>9192.99</v>
      </c>
      <c r="E473" s="26">
        <v>0</v>
      </c>
      <c r="F473" s="26">
        <v>9192.99</v>
      </c>
      <c r="G473" s="26">
        <v>30831.18</v>
      </c>
      <c r="H473" t="str">
        <f>_xlfn.XLOOKUP(A473,indice!A:A,indice!C:C)</f>
        <v>N</v>
      </c>
      <c r="I473" t="str">
        <f>_xlfn.XLOOKUP(A473,indice!A:A,indice!D:D)</f>
        <v>NÃO UTILIZAR</v>
      </c>
    </row>
    <row r="474" spans="1:9" x14ac:dyDescent="0.25">
      <c r="A474" t="s">
        <v>914</v>
      </c>
      <c r="B474" t="s">
        <v>792</v>
      </c>
      <c r="C474" s="26">
        <v>670.7</v>
      </c>
      <c r="D474" s="26">
        <v>361.86</v>
      </c>
      <c r="E474" s="26">
        <v>0</v>
      </c>
      <c r="F474" s="26">
        <v>361.86</v>
      </c>
      <c r="G474" s="26">
        <v>1032.56</v>
      </c>
      <c r="H474" t="str">
        <f>_xlfn.XLOOKUP(A474,indice!A:A,indice!C:C)</f>
        <v>N</v>
      </c>
      <c r="I474" t="str">
        <f>_xlfn.XLOOKUP(A474,indice!A:A,indice!D:D)</f>
        <v>NÃO UTILIZAR</v>
      </c>
    </row>
    <row r="475" spans="1:9" x14ac:dyDescent="0.25">
      <c r="A475" t="s">
        <v>915</v>
      </c>
      <c r="B475" t="s">
        <v>794</v>
      </c>
      <c r="C475" s="26">
        <v>81159.8</v>
      </c>
      <c r="D475" s="26">
        <v>26964.39</v>
      </c>
      <c r="E475" s="26">
        <v>0</v>
      </c>
      <c r="F475" s="26">
        <v>26964.39</v>
      </c>
      <c r="G475" s="26">
        <v>108124.19</v>
      </c>
      <c r="H475" t="str">
        <f>_xlfn.XLOOKUP(A475,indice!A:A,indice!C:C)</f>
        <v>N</v>
      </c>
      <c r="I475" t="str">
        <f>_xlfn.XLOOKUP(A475,indice!A:A,indice!D:D)</f>
        <v>NÃO UTILIZAR</v>
      </c>
    </row>
    <row r="476" spans="1:9" x14ac:dyDescent="0.25">
      <c r="A476" t="s">
        <v>918</v>
      </c>
      <c r="B476" t="s">
        <v>798</v>
      </c>
      <c r="C476" s="26">
        <v>866.18</v>
      </c>
      <c r="D476" s="26">
        <v>325.51</v>
      </c>
      <c r="E476" s="26">
        <v>0</v>
      </c>
      <c r="F476" s="26">
        <v>325.51</v>
      </c>
      <c r="G476" s="26">
        <v>1191.69</v>
      </c>
      <c r="H476" t="str">
        <f>_xlfn.XLOOKUP(A476,indice!A:A,indice!C:C)</f>
        <v>N</v>
      </c>
      <c r="I476" t="str">
        <f>_xlfn.XLOOKUP(A476,indice!A:A,indice!D:D)</f>
        <v>NÃO UTILIZAR</v>
      </c>
    </row>
    <row r="477" spans="1:9" x14ac:dyDescent="0.25">
      <c r="A477" t="s">
        <v>919</v>
      </c>
      <c r="B477" t="s">
        <v>920</v>
      </c>
      <c r="C477" s="26">
        <v>53587.64</v>
      </c>
      <c r="D477" s="26">
        <v>6600</v>
      </c>
      <c r="E477" s="26">
        <v>0</v>
      </c>
      <c r="F477" s="26">
        <v>6600</v>
      </c>
      <c r="G477" s="26">
        <v>60187.64</v>
      </c>
      <c r="H477" t="str">
        <f>_xlfn.XLOOKUP(A477,indice!A:A,indice!C:C)</f>
        <v>N</v>
      </c>
      <c r="I477" t="str">
        <f>_xlfn.XLOOKUP(A477,indice!A:A,indice!D:D)</f>
        <v>NÃO UTILIZAR</v>
      </c>
    </row>
    <row r="478" spans="1:9" x14ac:dyDescent="0.25">
      <c r="A478" t="s">
        <v>921</v>
      </c>
      <c r="B478" t="s">
        <v>802</v>
      </c>
      <c r="C478" s="26">
        <v>-215778.01</v>
      </c>
      <c r="D478" s="26">
        <v>261.22000000000003</v>
      </c>
      <c r="E478" s="26">
        <v>31831.62</v>
      </c>
      <c r="F478" s="26">
        <v>-31570.400000000001</v>
      </c>
      <c r="G478" s="26">
        <v>-247348.41</v>
      </c>
      <c r="H478" t="str">
        <f>_xlfn.XLOOKUP(A478,indice!A:A,indice!C:C)</f>
        <v>N</v>
      </c>
      <c r="I478" t="str">
        <f>_xlfn.XLOOKUP(A478,indice!A:A,indice!D:D)</f>
        <v>NÃO UTILIZAR</v>
      </c>
    </row>
    <row r="479" spans="1:9" x14ac:dyDescent="0.25">
      <c r="A479" t="s">
        <v>922</v>
      </c>
      <c r="B479" t="s">
        <v>804</v>
      </c>
      <c r="C479" s="26">
        <v>48013.68</v>
      </c>
      <c r="D479" s="26">
        <v>7795.59</v>
      </c>
      <c r="E479" s="26">
        <v>0</v>
      </c>
      <c r="F479" s="26">
        <v>7795.59</v>
      </c>
      <c r="G479" s="26">
        <v>55809.27</v>
      </c>
      <c r="H479" t="str">
        <f>_xlfn.XLOOKUP(A479,indice!A:A,indice!C:C)</f>
        <v>N</v>
      </c>
      <c r="I479" t="str">
        <f>_xlfn.XLOOKUP(A479,indice!A:A,indice!D:D)</f>
        <v>NÃO UTILIZAR</v>
      </c>
    </row>
    <row r="480" spans="1:9" x14ac:dyDescent="0.25">
      <c r="A480" t="s">
        <v>923</v>
      </c>
      <c r="B480" t="s">
        <v>806</v>
      </c>
      <c r="C480" s="26">
        <v>89450.41</v>
      </c>
      <c r="D480" s="26">
        <v>27129.9</v>
      </c>
      <c r="E480" s="26">
        <v>0</v>
      </c>
      <c r="F480" s="26">
        <v>27129.9</v>
      </c>
      <c r="G480" s="26">
        <v>116580.31</v>
      </c>
      <c r="H480" t="str">
        <f>_xlfn.XLOOKUP(A480,indice!A:A,indice!C:C)</f>
        <v>N</v>
      </c>
      <c r="I480" t="str">
        <f>_xlfn.XLOOKUP(A480,indice!A:A,indice!D:D)</f>
        <v>NÃO UTILIZAR</v>
      </c>
    </row>
    <row r="481" spans="1:9" x14ac:dyDescent="0.25">
      <c r="A481" t="s">
        <v>924</v>
      </c>
      <c r="B481" t="s">
        <v>808</v>
      </c>
      <c r="C481" s="26">
        <v>6808.2</v>
      </c>
      <c r="D481" s="26">
        <v>1621</v>
      </c>
      <c r="E481" s="26">
        <v>0</v>
      </c>
      <c r="F481" s="26">
        <v>1621</v>
      </c>
      <c r="G481" s="26">
        <v>8429.2000000000007</v>
      </c>
      <c r="H481" t="str">
        <f>_xlfn.XLOOKUP(A481,indice!A:A,indice!C:C)</f>
        <v>N</v>
      </c>
      <c r="I481" t="str">
        <f>_xlfn.XLOOKUP(A481,indice!A:A,indice!D:D)</f>
        <v>NÃO UTILIZAR</v>
      </c>
    </row>
    <row r="482" spans="1:9" x14ac:dyDescent="0.25">
      <c r="A482" t="s">
        <v>925</v>
      </c>
      <c r="B482" t="s">
        <v>810</v>
      </c>
      <c r="C482" s="26">
        <v>20639.71</v>
      </c>
      <c r="D482" s="26">
        <v>4160</v>
      </c>
      <c r="E482" s="26">
        <v>0</v>
      </c>
      <c r="F482" s="26">
        <v>4160</v>
      </c>
      <c r="G482" s="26">
        <v>24799.71</v>
      </c>
      <c r="H482" t="str">
        <f>_xlfn.XLOOKUP(A482,indice!A:A,indice!C:C)</f>
        <v>N</v>
      </c>
      <c r="I482" t="str">
        <f>_xlfn.XLOOKUP(A482,indice!A:A,indice!D:D)</f>
        <v>NÃO UTILIZAR</v>
      </c>
    </row>
    <row r="483" spans="1:9" x14ac:dyDescent="0.25">
      <c r="A483" t="s">
        <v>926</v>
      </c>
      <c r="B483" t="s">
        <v>812</v>
      </c>
      <c r="C483" s="26">
        <v>2150.4499999999998</v>
      </c>
      <c r="D483" s="26">
        <v>0</v>
      </c>
      <c r="E483" s="26">
        <v>0</v>
      </c>
      <c r="F483" s="26">
        <v>0</v>
      </c>
      <c r="G483" s="26">
        <v>2150.4499999999998</v>
      </c>
      <c r="H483" t="str">
        <f>_xlfn.XLOOKUP(A483,indice!A:A,indice!C:C)</f>
        <v>N</v>
      </c>
      <c r="I483" t="str">
        <f>_xlfn.XLOOKUP(A483,indice!A:A,indice!D:D)</f>
        <v>NÃO UTILIZAR</v>
      </c>
    </row>
    <row r="484" spans="1:9" x14ac:dyDescent="0.25">
      <c r="A484" t="s">
        <v>927</v>
      </c>
      <c r="B484" t="s">
        <v>814</v>
      </c>
      <c r="C484" s="26">
        <v>17812.8</v>
      </c>
      <c r="D484" s="26">
        <v>4589.3</v>
      </c>
      <c r="E484" s="26">
        <v>0</v>
      </c>
      <c r="F484" s="26">
        <v>4589.3</v>
      </c>
      <c r="G484" s="26">
        <v>22402.1</v>
      </c>
      <c r="H484" t="str">
        <f>_xlfn.XLOOKUP(A484,indice!A:A,indice!C:C)</f>
        <v>N</v>
      </c>
      <c r="I484" t="str">
        <f>_xlfn.XLOOKUP(A484,indice!A:A,indice!D:D)</f>
        <v>NÃO UTILIZAR</v>
      </c>
    </row>
    <row r="485" spans="1:9" x14ac:dyDescent="0.25">
      <c r="A485" t="s">
        <v>928</v>
      </c>
      <c r="B485" t="s">
        <v>816</v>
      </c>
      <c r="C485" s="26">
        <v>30805.38</v>
      </c>
      <c r="D485" s="26">
        <v>5879.7</v>
      </c>
      <c r="E485" s="26">
        <v>0</v>
      </c>
      <c r="F485" s="26">
        <v>5879.7</v>
      </c>
      <c r="G485" s="26">
        <v>36685.08</v>
      </c>
      <c r="H485" t="str">
        <f>_xlfn.XLOOKUP(A485,indice!A:A,indice!C:C)</f>
        <v>N</v>
      </c>
      <c r="I485" t="str">
        <f>_xlfn.XLOOKUP(A485,indice!A:A,indice!D:D)</f>
        <v>NÃO UTILIZAR</v>
      </c>
    </row>
    <row r="486" spans="1:9" x14ac:dyDescent="0.25">
      <c r="A486" t="s">
        <v>929</v>
      </c>
      <c r="B486" t="s">
        <v>930</v>
      </c>
      <c r="C486" s="26">
        <v>161871.9</v>
      </c>
      <c r="D486" s="26">
        <v>1700.6</v>
      </c>
      <c r="E486" s="26">
        <v>0</v>
      </c>
      <c r="F486" s="26">
        <v>1700.6</v>
      </c>
      <c r="G486" s="26">
        <v>163572.5</v>
      </c>
      <c r="H486" t="str">
        <f>_xlfn.XLOOKUP(A486,indice!A:A,indice!C:C)</f>
        <v>N</v>
      </c>
      <c r="I486" t="str">
        <f>_xlfn.XLOOKUP(A486,indice!A:A,indice!D:D)</f>
        <v>NÃO UTILIZAR</v>
      </c>
    </row>
    <row r="487" spans="1:9" x14ac:dyDescent="0.25">
      <c r="A487" t="s">
        <v>931</v>
      </c>
      <c r="B487" t="s">
        <v>932</v>
      </c>
      <c r="C487" s="26">
        <v>9550.7000000000007</v>
      </c>
      <c r="D487" s="26">
        <v>713.19</v>
      </c>
      <c r="E487" s="26">
        <v>0</v>
      </c>
      <c r="F487" s="26">
        <v>713.19</v>
      </c>
      <c r="G487" s="26">
        <v>10263.89</v>
      </c>
      <c r="H487" t="str">
        <f>_xlfn.XLOOKUP(A487,indice!A:A,indice!C:C)</f>
        <v>N</v>
      </c>
      <c r="I487" t="str">
        <f>_xlfn.XLOOKUP(A487,indice!A:A,indice!D:D)</f>
        <v>NÃO UTILIZAR</v>
      </c>
    </row>
    <row r="488" spans="1:9" x14ac:dyDescent="0.25">
      <c r="A488" t="s">
        <v>933</v>
      </c>
      <c r="B488" t="s">
        <v>934</v>
      </c>
      <c r="C488" s="26">
        <v>126155.22</v>
      </c>
      <c r="D488" s="26">
        <v>25786.799999999999</v>
      </c>
      <c r="E488" s="26">
        <v>0</v>
      </c>
      <c r="F488" s="26">
        <v>25786.799999999999</v>
      </c>
      <c r="G488" s="26">
        <v>151942.01999999999</v>
      </c>
      <c r="H488" t="str">
        <f>_xlfn.XLOOKUP(A488,indice!A:A,indice!C:C)</f>
        <v>N</v>
      </c>
      <c r="I488" t="str">
        <f>_xlfn.XLOOKUP(A488,indice!A:A,indice!D:D)</f>
        <v>NÃO UTILIZAR</v>
      </c>
    </row>
    <row r="489" spans="1:9" x14ac:dyDescent="0.25">
      <c r="A489" t="s">
        <v>935</v>
      </c>
      <c r="B489" t="s">
        <v>820</v>
      </c>
      <c r="C489" s="26">
        <v>92998.11</v>
      </c>
      <c r="D489" s="26">
        <v>27995.81</v>
      </c>
      <c r="E489" s="26">
        <v>0</v>
      </c>
      <c r="F489" s="26">
        <v>27995.81</v>
      </c>
      <c r="G489" s="26">
        <v>120993.92</v>
      </c>
      <c r="H489" t="str">
        <f>_xlfn.XLOOKUP(A489,indice!A:A,indice!C:C)</f>
        <v>N</v>
      </c>
      <c r="I489" t="str">
        <f>_xlfn.XLOOKUP(A489,indice!A:A,indice!D:D)</f>
        <v>NÃO UTILIZAR</v>
      </c>
    </row>
    <row r="490" spans="1:9" x14ac:dyDescent="0.25">
      <c r="A490" t="s">
        <v>1117</v>
      </c>
      <c r="B490" t="s">
        <v>1118</v>
      </c>
      <c r="C490" s="26">
        <v>43319.92</v>
      </c>
      <c r="D490" s="26">
        <v>0</v>
      </c>
      <c r="E490" s="26">
        <v>0</v>
      </c>
      <c r="F490" s="26">
        <v>0</v>
      </c>
      <c r="G490" s="26">
        <v>43319.92</v>
      </c>
      <c r="H490" t="str">
        <f>_xlfn.XLOOKUP(A490,indice!A:A,indice!C:C)</f>
        <v>N</v>
      </c>
      <c r="I490" t="str">
        <f>_xlfn.XLOOKUP(A490,indice!A:A,indice!D:D)</f>
        <v>NÃO UTILIZAR</v>
      </c>
    </row>
    <row r="491" spans="1:9" x14ac:dyDescent="0.25">
      <c r="A491" t="s">
        <v>936</v>
      </c>
      <c r="B491" t="s">
        <v>937</v>
      </c>
      <c r="C491" s="26">
        <v>437137.82</v>
      </c>
      <c r="D491" s="26">
        <v>144597.12</v>
      </c>
      <c r="E491" s="26">
        <v>0</v>
      </c>
      <c r="F491" s="26">
        <v>144597.12</v>
      </c>
      <c r="G491" s="26">
        <v>581734.93999999994</v>
      </c>
      <c r="H491" t="str">
        <f>_xlfn.XLOOKUP(A491,indice!A:A,indice!C:C)</f>
        <v>N</v>
      </c>
      <c r="I491" t="str">
        <f>_xlfn.XLOOKUP(A491,indice!A:A,indice!D:D)</f>
        <v>NÃO UTILIZAR</v>
      </c>
    </row>
    <row r="492" spans="1:9" x14ac:dyDescent="0.25">
      <c r="A492" t="s">
        <v>938</v>
      </c>
      <c r="B492" t="s">
        <v>824</v>
      </c>
      <c r="C492" s="26">
        <v>273846.84000000003</v>
      </c>
      <c r="D492" s="26">
        <v>0</v>
      </c>
      <c r="E492" s="26">
        <v>0</v>
      </c>
      <c r="F492" s="26">
        <v>0</v>
      </c>
      <c r="G492" s="26">
        <v>273846.84000000003</v>
      </c>
      <c r="H492" t="str">
        <f>_xlfn.XLOOKUP(A492,indice!A:A,indice!C:C)</f>
        <v>N</v>
      </c>
      <c r="I492" t="str">
        <f>_xlfn.XLOOKUP(A492,indice!A:A,indice!D:D)</f>
        <v>NÃO UTILIZAR</v>
      </c>
    </row>
    <row r="493" spans="1:9" x14ac:dyDescent="0.25">
      <c r="A493" t="s">
        <v>939</v>
      </c>
      <c r="B493" t="s">
        <v>940</v>
      </c>
      <c r="C493" s="26">
        <v>3352863.13</v>
      </c>
      <c r="D493" s="26">
        <v>1474272.07</v>
      </c>
      <c r="E493" s="26">
        <v>928211.63</v>
      </c>
      <c r="F493" s="26">
        <v>546060.43999999994</v>
      </c>
      <c r="G493" s="26">
        <v>3898923.57</v>
      </c>
      <c r="H493" t="str">
        <f>_xlfn.XLOOKUP(A493,indice!A:A,indice!C:C)</f>
        <v>N</v>
      </c>
      <c r="I493" t="str">
        <f>_xlfn.XLOOKUP(A493,indice!A:A,indice!D:D)</f>
        <v>NÃO UTILIZAR</v>
      </c>
    </row>
    <row r="494" spans="1:9" x14ac:dyDescent="0.25">
      <c r="A494" t="s">
        <v>1178</v>
      </c>
      <c r="B494" t="s">
        <v>1179</v>
      </c>
      <c r="C494" s="26">
        <v>282457.75</v>
      </c>
      <c r="D494" s="26">
        <v>0</v>
      </c>
      <c r="E494" s="26">
        <v>0</v>
      </c>
      <c r="F494" s="26">
        <v>0</v>
      </c>
      <c r="G494" s="26">
        <v>282457.75</v>
      </c>
      <c r="H494" t="str">
        <f>_xlfn.XLOOKUP(A494,indice!A:A,indice!C:C)</f>
        <v>N</v>
      </c>
      <c r="I494" t="str">
        <f>_xlfn.XLOOKUP(A494,indice!A:A,indice!D:D)</f>
        <v>NÃO UTILIZAR</v>
      </c>
    </row>
    <row r="495" spans="1:9" x14ac:dyDescent="0.25">
      <c r="A495" t="s">
        <v>941</v>
      </c>
      <c r="B495" t="s">
        <v>942</v>
      </c>
      <c r="C495" s="26">
        <v>4577337.5599999996</v>
      </c>
      <c r="D495" s="26">
        <v>1462049.32</v>
      </c>
      <c r="E495" s="26">
        <v>1748.25</v>
      </c>
      <c r="F495" s="26">
        <v>1460301.07</v>
      </c>
      <c r="G495" s="26">
        <v>6037638.6299999999</v>
      </c>
      <c r="H495" t="str">
        <f>_xlfn.XLOOKUP(A495,indice!A:A,indice!C:C)</f>
        <v>N</v>
      </c>
      <c r="I495" t="str">
        <f>_xlfn.XLOOKUP(A495,indice!A:A,indice!D:D)</f>
        <v>NÃO UTILIZAR</v>
      </c>
    </row>
    <row r="496" spans="1:9" x14ac:dyDescent="0.25">
      <c r="A496" t="s">
        <v>943</v>
      </c>
      <c r="B496" t="s">
        <v>944</v>
      </c>
      <c r="C496" s="26">
        <v>0</v>
      </c>
      <c r="D496" s="26">
        <v>11809</v>
      </c>
      <c r="E496" s="26">
        <v>0</v>
      </c>
      <c r="F496" s="26">
        <v>11809</v>
      </c>
      <c r="G496" s="26">
        <v>11809</v>
      </c>
      <c r="H496" t="str">
        <f>_xlfn.XLOOKUP(A496,indice!A:A,indice!C:C)</f>
        <v>N</v>
      </c>
      <c r="I496" t="str">
        <f>_xlfn.XLOOKUP(A496,indice!A:A,indice!D:D)</f>
        <v>NÃO UTILIZAR</v>
      </c>
    </row>
    <row r="497" spans="1:9" x14ac:dyDescent="0.25">
      <c r="A497" t="s">
        <v>945</v>
      </c>
      <c r="B497" t="s">
        <v>946</v>
      </c>
      <c r="C497" s="26">
        <v>-0.02</v>
      </c>
      <c r="D497" s="26">
        <v>0</v>
      </c>
      <c r="E497" s="26">
        <v>0.03</v>
      </c>
      <c r="F497" s="26">
        <v>-0.03</v>
      </c>
      <c r="G497" s="26">
        <v>-0.05</v>
      </c>
      <c r="H497" t="str">
        <f>_xlfn.XLOOKUP(A497,indice!A:A,indice!C:C)</f>
        <v>N</v>
      </c>
      <c r="I497" t="str">
        <f>_xlfn.XLOOKUP(A497,indice!A:A,indice!D:D)</f>
        <v>NÃO UTILIZAR</v>
      </c>
    </row>
    <row r="498" spans="1:9" x14ac:dyDescent="0.25">
      <c r="A498" t="s">
        <v>947</v>
      </c>
      <c r="B498" t="s">
        <v>948</v>
      </c>
      <c r="C498" s="26">
        <v>-209.24</v>
      </c>
      <c r="D498" s="26">
        <v>413.75</v>
      </c>
      <c r="E498" s="26">
        <v>27.93</v>
      </c>
      <c r="F498" s="26">
        <v>385.82</v>
      </c>
      <c r="G498" s="26">
        <v>176.58</v>
      </c>
      <c r="H498" t="str">
        <f>_xlfn.XLOOKUP(A498,indice!A:A,indice!C:C)</f>
        <v>N</v>
      </c>
      <c r="I498" t="str">
        <f>_xlfn.XLOOKUP(A498,indice!A:A,indice!D:D)</f>
        <v>NÃO UTILIZAR</v>
      </c>
    </row>
    <row r="499" spans="1:9" x14ac:dyDescent="0.25">
      <c r="A499" t="s">
        <v>951</v>
      </c>
      <c r="B499" t="s">
        <v>952</v>
      </c>
      <c r="C499" s="26">
        <v>-17192.93</v>
      </c>
      <c r="D499" s="26">
        <v>0</v>
      </c>
      <c r="E499" s="26">
        <v>5635.42</v>
      </c>
      <c r="F499" s="26">
        <v>-5635.42</v>
      </c>
      <c r="G499" s="26">
        <v>-22828.35</v>
      </c>
      <c r="H499" t="str">
        <f>_xlfn.XLOOKUP(A499,indice!A:A,indice!C:C)</f>
        <v>N</v>
      </c>
      <c r="I499" t="str">
        <f>_xlfn.XLOOKUP(A499,indice!A:A,indice!D:D)</f>
        <v>NÃO UTILIZAR</v>
      </c>
    </row>
    <row r="500" spans="1:9" x14ac:dyDescent="0.25">
      <c r="A500" t="s">
        <v>1095</v>
      </c>
      <c r="B500" t="s">
        <v>1096</v>
      </c>
      <c r="C500" s="26">
        <v>-420282.99</v>
      </c>
      <c r="D500" s="26">
        <v>0</v>
      </c>
      <c r="E500" s="26">
        <v>0</v>
      </c>
      <c r="F500" s="26">
        <v>0</v>
      </c>
      <c r="G500" s="26">
        <v>-420282.99</v>
      </c>
      <c r="H500" t="str">
        <f>_xlfn.XLOOKUP(A500,indice!A:A,indice!C:C)</f>
        <v>N</v>
      </c>
      <c r="I500" t="str">
        <f>_xlfn.XLOOKUP(A500,indice!A:A,indice!D:D)</f>
        <v>NÃO UTILIZAR</v>
      </c>
    </row>
    <row r="501" spans="1:9" x14ac:dyDescent="0.25">
      <c r="A501" t="s">
        <v>1198</v>
      </c>
      <c r="B501" t="s">
        <v>1199</v>
      </c>
      <c r="C501" s="26">
        <v>-1702347</v>
      </c>
      <c r="D501" s="26">
        <v>0</v>
      </c>
      <c r="E501" s="26">
        <v>920800</v>
      </c>
      <c r="F501" s="26">
        <v>-920800</v>
      </c>
      <c r="G501" s="26">
        <v>-2623147</v>
      </c>
      <c r="H501" t="str">
        <f>_xlfn.XLOOKUP(A501,indice!A:A,indice!C:C)</f>
        <v>N</v>
      </c>
      <c r="I501" t="str">
        <f>_xlfn.XLOOKUP(A501,indice!A:A,indice!D:D)</f>
        <v>NÃO UTILIZAR</v>
      </c>
    </row>
    <row r="502" spans="1:9" x14ac:dyDescent="0.25">
      <c r="A502" t="s">
        <v>1209</v>
      </c>
      <c r="B502" t="s">
        <v>1210</v>
      </c>
      <c r="C502" s="26">
        <v>633100</v>
      </c>
      <c r="D502" s="26">
        <v>0</v>
      </c>
      <c r="E502" s="26">
        <v>0</v>
      </c>
      <c r="F502" s="26">
        <v>0</v>
      </c>
      <c r="G502" s="26">
        <v>633100</v>
      </c>
      <c r="H502" t="str">
        <f>_xlfn.XLOOKUP(A502,indice!A:A,indice!C:C)</f>
        <v>N</v>
      </c>
      <c r="I502" t="str">
        <f>_xlfn.XLOOKUP(A502,indice!A:A,indice!D:D)</f>
        <v>NÃO UTILIZAR</v>
      </c>
    </row>
    <row r="503" spans="1:9" x14ac:dyDescent="0.25">
      <c r="A503" t="s">
        <v>955</v>
      </c>
      <c r="B503" t="s">
        <v>956</v>
      </c>
      <c r="C503" s="26">
        <v>-3913506.48</v>
      </c>
      <c r="D503" s="26">
        <v>56094.17</v>
      </c>
      <c r="E503" s="26">
        <v>554915.89</v>
      </c>
      <c r="F503" s="26">
        <v>-498821.72</v>
      </c>
      <c r="G503" s="26">
        <v>-4412328.2</v>
      </c>
      <c r="H503" t="str">
        <f>_xlfn.XLOOKUP(A503,indice!A:A,indice!C:C)</f>
        <v>N</v>
      </c>
      <c r="I503" t="str">
        <f>_xlfn.XLOOKUP(A503,indice!A:A,indice!D:D)</f>
        <v>NÃO UTILIZAR</v>
      </c>
    </row>
    <row r="504" spans="1:9" x14ac:dyDescent="0.25">
      <c r="A504" t="s">
        <v>957</v>
      </c>
      <c r="B504" t="s">
        <v>172</v>
      </c>
      <c r="C504" s="26">
        <v>13.05</v>
      </c>
      <c r="D504" s="26">
        <v>0</v>
      </c>
      <c r="E504" s="26">
        <v>0</v>
      </c>
      <c r="F504" s="26">
        <v>0</v>
      </c>
      <c r="G504" s="26">
        <v>13.05</v>
      </c>
      <c r="H504" t="str">
        <f>_xlfn.XLOOKUP(A504,indice!A:A,indice!C:C)</f>
        <v>N</v>
      </c>
      <c r="I504" t="str">
        <f>_xlfn.XLOOKUP(A504,indice!A:A,indice!D:D)</f>
        <v>NÃO UTILIZAR</v>
      </c>
    </row>
    <row r="505" spans="1:9" x14ac:dyDescent="0.25">
      <c r="A505" t="s">
        <v>958</v>
      </c>
      <c r="B505" t="s">
        <v>192</v>
      </c>
      <c r="C505" s="26">
        <v>1176.8699999999999</v>
      </c>
      <c r="D505" s="26">
        <v>1569.95</v>
      </c>
      <c r="E505" s="26">
        <v>0</v>
      </c>
      <c r="F505" s="26">
        <v>1569.95</v>
      </c>
      <c r="G505" s="26">
        <v>2746.82</v>
      </c>
      <c r="H505" t="str">
        <f>_xlfn.XLOOKUP(A505,indice!A:A,indice!C:C)</f>
        <v>N</v>
      </c>
      <c r="I505" t="str">
        <f>_xlfn.XLOOKUP(A505,indice!A:A,indice!D:D)</f>
        <v>NÃO UTILIZAR</v>
      </c>
    </row>
    <row r="506" spans="1:9" x14ac:dyDescent="0.25">
      <c r="A506" t="s">
        <v>959</v>
      </c>
      <c r="B506" t="s">
        <v>214</v>
      </c>
      <c r="C506" s="26">
        <v>5523.6</v>
      </c>
      <c r="D506" s="26">
        <v>7287.98</v>
      </c>
      <c r="E506" s="26">
        <v>0</v>
      </c>
      <c r="F506" s="26">
        <v>7287.98</v>
      </c>
      <c r="G506" s="26">
        <v>12811.58</v>
      </c>
      <c r="H506" t="str">
        <f>_xlfn.XLOOKUP(A506,indice!A:A,indice!C:C)</f>
        <v>N</v>
      </c>
      <c r="I506" t="str">
        <f>_xlfn.XLOOKUP(A506,indice!A:A,indice!D:D)</f>
        <v>NÃO UTILIZAR</v>
      </c>
    </row>
    <row r="507" spans="1:9" x14ac:dyDescent="0.25">
      <c r="A507" t="s">
        <v>960</v>
      </c>
      <c r="B507" t="s">
        <v>961</v>
      </c>
      <c r="C507" s="26">
        <v>-293834.42</v>
      </c>
      <c r="D507" s="26">
        <v>0</v>
      </c>
      <c r="E507" s="26">
        <v>0</v>
      </c>
      <c r="F507" s="26">
        <v>0</v>
      </c>
      <c r="G507" s="26">
        <v>-293834.42</v>
      </c>
      <c r="H507" t="str">
        <f>_xlfn.XLOOKUP(A507,indice!A:A,indice!C:C)</f>
        <v>N</v>
      </c>
      <c r="I507" t="str">
        <f>_xlfn.XLOOKUP(A507,indice!A:A,indice!D:D)</f>
        <v>NÃO UTILIZAR</v>
      </c>
    </row>
    <row r="508" spans="1:9" x14ac:dyDescent="0.25">
      <c r="A508" t="s">
        <v>1059</v>
      </c>
      <c r="B508" t="s">
        <v>1060</v>
      </c>
      <c r="C508" s="26">
        <v>6196.51</v>
      </c>
      <c r="D508" s="26">
        <v>37044.959999999999</v>
      </c>
      <c r="E508" s="26">
        <v>32863.4</v>
      </c>
      <c r="F508" s="26">
        <v>4181.5600000000004</v>
      </c>
      <c r="G508" s="26">
        <v>10378.07</v>
      </c>
      <c r="H508" t="str">
        <f>_xlfn.XLOOKUP(A508,indice!A:A,indice!C:C)</f>
        <v>N</v>
      </c>
      <c r="I508" t="str">
        <f>_xlfn.XLOOKUP(A508,indice!A:A,indice!D:D)</f>
        <v>NÃO UTILIZAR</v>
      </c>
    </row>
    <row r="509" spans="1:9" x14ac:dyDescent="0.25">
      <c r="A509" t="s">
        <v>962</v>
      </c>
      <c r="B509" t="s">
        <v>963</v>
      </c>
      <c r="C509" s="26">
        <v>-3786885.13</v>
      </c>
      <c r="D509" s="26">
        <v>0</v>
      </c>
      <c r="E509" s="26">
        <v>429124.1</v>
      </c>
      <c r="F509" s="26">
        <v>-429124.1</v>
      </c>
      <c r="G509" s="26">
        <v>-4216009.2300000004</v>
      </c>
      <c r="H509" t="str">
        <f>_xlfn.XLOOKUP(A509,indice!A:A,indice!C:C)</f>
        <v>N</v>
      </c>
      <c r="I509" t="str">
        <f>_xlfn.XLOOKUP(A509,indice!A:A,indice!D:D)</f>
        <v>NÃO UTILIZAR</v>
      </c>
    </row>
    <row r="510" spans="1:9" x14ac:dyDescent="0.25">
      <c r="A510" t="s">
        <v>964</v>
      </c>
      <c r="B510" t="s">
        <v>965</v>
      </c>
      <c r="C510" s="26">
        <v>1128.81</v>
      </c>
      <c r="D510" s="26">
        <v>10191.280000000001</v>
      </c>
      <c r="E510" s="26">
        <v>0</v>
      </c>
      <c r="F510" s="26">
        <v>10191.280000000001</v>
      </c>
      <c r="G510" s="26">
        <v>11320.09</v>
      </c>
      <c r="H510" t="str">
        <f>_xlfn.XLOOKUP(A510,indice!A:A,indice!C:C)</f>
        <v>N</v>
      </c>
      <c r="I510" t="str">
        <f>_xlfn.XLOOKUP(A510,indice!A:A,indice!D:D)</f>
        <v>NÃO UTILIZAR</v>
      </c>
    </row>
    <row r="511" spans="1:9" x14ac:dyDescent="0.25">
      <c r="A511" t="s">
        <v>966</v>
      </c>
      <c r="B511" t="s">
        <v>967</v>
      </c>
      <c r="C511" s="26">
        <v>-94603.48</v>
      </c>
      <c r="D511" s="26">
        <v>0</v>
      </c>
      <c r="E511" s="26">
        <v>92928.39</v>
      </c>
      <c r="F511" s="26">
        <v>-92928.39</v>
      </c>
      <c r="G511" s="26">
        <v>-187531.87</v>
      </c>
      <c r="H511" t="str">
        <f>_xlfn.XLOOKUP(A511,indice!A:A,indice!C:C)</f>
        <v>N</v>
      </c>
      <c r="I511" t="str">
        <f>_xlfn.XLOOKUP(A511,indice!A:A,indice!D:D)</f>
        <v>NÃO UTILIZAR</v>
      </c>
    </row>
    <row r="512" spans="1:9" x14ac:dyDescent="0.25">
      <c r="A512" t="s">
        <v>968</v>
      </c>
      <c r="B512" t="s">
        <v>969</v>
      </c>
      <c r="C512" s="26">
        <v>78748.75</v>
      </c>
      <c r="D512" s="26">
        <v>0</v>
      </c>
      <c r="E512" s="26">
        <v>0</v>
      </c>
      <c r="F512" s="26">
        <v>0</v>
      </c>
      <c r="G512" s="26">
        <v>78748.75</v>
      </c>
      <c r="H512" t="str">
        <f>_xlfn.XLOOKUP(A512,indice!A:A,indice!C:C)</f>
        <v>N</v>
      </c>
      <c r="I512" t="str">
        <f>_xlfn.XLOOKUP(A512,indice!A:A,indice!D:D)</f>
        <v>NÃO UTILIZAR</v>
      </c>
    </row>
    <row r="513" spans="1:9" x14ac:dyDescent="0.25">
      <c r="A513" t="s">
        <v>1123</v>
      </c>
      <c r="B513" t="s">
        <v>1124</v>
      </c>
      <c r="C513" s="26">
        <v>169028.96</v>
      </c>
      <c r="D513" s="26">
        <v>0</v>
      </c>
      <c r="E513" s="26">
        <v>0</v>
      </c>
      <c r="F513" s="26">
        <v>0</v>
      </c>
      <c r="G513" s="26">
        <v>169028.96</v>
      </c>
      <c r="H513" t="str">
        <f>_xlfn.XLOOKUP(A513,indice!A:A,indice!C:C)</f>
        <v>N</v>
      </c>
      <c r="I513" t="str">
        <f>_xlfn.XLOOKUP(A513,indice!A:A,indice!D:D)</f>
        <v>NÃO UTILIZAR</v>
      </c>
    </row>
    <row r="514" spans="1:9" x14ac:dyDescent="0.25">
      <c r="A514" t="s">
        <v>974</v>
      </c>
      <c r="B514" t="s">
        <v>975</v>
      </c>
      <c r="C514" s="26">
        <v>-70000</v>
      </c>
      <c r="D514" s="26">
        <v>0</v>
      </c>
      <c r="E514" s="26">
        <v>0</v>
      </c>
      <c r="F514" s="26">
        <v>0</v>
      </c>
      <c r="G514" s="26">
        <v>-70000</v>
      </c>
      <c r="H514" t="str">
        <f>_xlfn.XLOOKUP(A514,indice!A:A,indice!C:C)</f>
        <v>N</v>
      </c>
      <c r="I514" t="str">
        <f>_xlfn.XLOOKUP(A514,indice!A:A,indice!D:D)</f>
        <v>NÃO UTILIZAR</v>
      </c>
    </row>
    <row r="515" spans="1:9" x14ac:dyDescent="0.25">
      <c r="A515" t="s">
        <v>976</v>
      </c>
      <c r="B515" t="s">
        <v>977</v>
      </c>
      <c r="C515" s="26">
        <v>-70000</v>
      </c>
      <c r="D515" s="26">
        <v>0</v>
      </c>
      <c r="E515" s="26">
        <v>0</v>
      </c>
      <c r="F515" s="26">
        <v>0</v>
      </c>
      <c r="G515" s="26">
        <v>-70000</v>
      </c>
      <c r="H515" t="str">
        <f>_xlfn.XLOOKUP(A515,indice!A:A,indice!C:C)</f>
        <v>N</v>
      </c>
      <c r="I515" t="str">
        <f>_xlfn.XLOOKUP(A515,indice!A:A,indice!D:D)</f>
        <v>NÃO UTILIZAR</v>
      </c>
    </row>
    <row r="516" spans="1:9" x14ac:dyDescent="0.25">
      <c r="D516" s="30">
        <v>101005343.83</v>
      </c>
      <c r="E516" s="30">
        <v>101005343.83</v>
      </c>
    </row>
  </sheetData>
  <autoFilter ref="A1:I512" xr:uid="{FE6C3D72-2179-4EF4-8210-30C7345A3670}"/>
  <pageMargins left="0.51181102362204722" right="0.51181102362204722" top="0.78740157480314965" bottom="0.78740157480314965" header="0.31496062992125984" footer="0.31496062992125984"/>
  <pageSetup paperSize="9" scale="8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DD0C-2FC4-4467-BC4E-8C14753A2D16}">
  <dimension ref="A1:D633"/>
  <sheetViews>
    <sheetView topLeftCell="A372" workbookViewId="0">
      <selection activeCell="A384" sqref="A384"/>
    </sheetView>
  </sheetViews>
  <sheetFormatPr defaultRowHeight="15" x14ac:dyDescent="0.25"/>
  <cols>
    <col min="1" max="1" width="14.7109375" customWidth="1"/>
    <col min="2" max="2" width="55.140625" bestFit="1" customWidth="1"/>
    <col min="4" max="4" width="32" bestFit="1" customWidth="1"/>
  </cols>
  <sheetData>
    <row r="1" spans="1:4" ht="15.75" x14ac:dyDescent="0.25">
      <c r="A1" s="6" t="s">
        <v>81</v>
      </c>
      <c r="B1" s="6"/>
    </row>
    <row r="2" spans="1:4" x14ac:dyDescent="0.25">
      <c r="A2" s="7" t="s">
        <v>82</v>
      </c>
    </row>
    <row r="3" spans="1:4" x14ac:dyDescent="0.25">
      <c r="A3" s="8" t="s">
        <v>83</v>
      </c>
    </row>
    <row r="4" spans="1:4" x14ac:dyDescent="0.25">
      <c r="A4" s="8" t="s">
        <v>84</v>
      </c>
    </row>
    <row r="5" spans="1:4" x14ac:dyDescent="0.25">
      <c r="A5" s="8" t="s">
        <v>85</v>
      </c>
    </row>
    <row r="6" spans="1:4" x14ac:dyDescent="0.25">
      <c r="A6" s="8" t="s">
        <v>86</v>
      </c>
    </row>
    <row r="7" spans="1:4" x14ac:dyDescent="0.25">
      <c r="A7" s="4"/>
      <c r="B7" s="5"/>
    </row>
    <row r="8" spans="1:4" x14ac:dyDescent="0.25">
      <c r="A8" s="2" t="s">
        <v>88</v>
      </c>
      <c r="B8" s="2" t="s">
        <v>89</v>
      </c>
    </row>
    <row r="9" spans="1:4" x14ac:dyDescent="0.25">
      <c r="A9" s="3" t="s">
        <v>95</v>
      </c>
      <c r="B9" t="s">
        <v>96</v>
      </c>
      <c r="C9" t="s">
        <v>978</v>
      </c>
      <c r="D9" t="s">
        <v>979</v>
      </c>
    </row>
    <row r="10" spans="1:4" x14ac:dyDescent="0.25">
      <c r="A10" s="3" t="s">
        <v>97</v>
      </c>
      <c r="B10" t="s">
        <v>98</v>
      </c>
      <c r="C10" t="s">
        <v>978</v>
      </c>
      <c r="D10" t="s">
        <v>979</v>
      </c>
    </row>
    <row r="11" spans="1:4" x14ac:dyDescent="0.25">
      <c r="A11" s="3" t="s">
        <v>99</v>
      </c>
      <c r="B11" t="s">
        <v>100</v>
      </c>
      <c r="C11" t="s">
        <v>978</v>
      </c>
      <c r="D11" t="s">
        <v>979</v>
      </c>
    </row>
    <row r="12" spans="1:4" x14ac:dyDescent="0.25">
      <c r="A12" s="3" t="s">
        <v>101</v>
      </c>
      <c r="B12" t="s">
        <v>102</v>
      </c>
      <c r="C12" t="s">
        <v>978</v>
      </c>
      <c r="D12" t="s">
        <v>979</v>
      </c>
    </row>
    <row r="13" spans="1:4" x14ac:dyDescent="0.25">
      <c r="A13" s="3" t="s">
        <v>103</v>
      </c>
      <c r="B13" t="s">
        <v>104</v>
      </c>
      <c r="C13">
        <v>1</v>
      </c>
      <c r="D13" t="s">
        <v>1</v>
      </c>
    </row>
    <row r="14" spans="1:4" x14ac:dyDescent="0.25">
      <c r="A14" s="3" t="s">
        <v>105</v>
      </c>
      <c r="B14" t="s">
        <v>106</v>
      </c>
      <c r="C14">
        <v>1</v>
      </c>
      <c r="D14" t="s">
        <v>1</v>
      </c>
    </row>
    <row r="15" spans="1:4" x14ac:dyDescent="0.25">
      <c r="A15" s="3" t="s">
        <v>107</v>
      </c>
      <c r="B15" t="s">
        <v>108</v>
      </c>
      <c r="C15">
        <v>1</v>
      </c>
      <c r="D15" t="s">
        <v>1</v>
      </c>
    </row>
    <row r="16" spans="1:4" x14ac:dyDescent="0.25">
      <c r="A16" s="3" t="s">
        <v>109</v>
      </c>
      <c r="B16" t="s">
        <v>110</v>
      </c>
      <c r="C16">
        <v>1</v>
      </c>
      <c r="D16" t="s">
        <v>1</v>
      </c>
    </row>
    <row r="17" spans="1:4" x14ac:dyDescent="0.25">
      <c r="A17" s="3" t="s">
        <v>111</v>
      </c>
      <c r="B17" t="s">
        <v>112</v>
      </c>
      <c r="C17">
        <v>1</v>
      </c>
      <c r="D17" t="s">
        <v>1</v>
      </c>
    </row>
    <row r="18" spans="1:4" x14ac:dyDescent="0.25">
      <c r="A18" s="3" t="s">
        <v>113</v>
      </c>
      <c r="B18" t="s">
        <v>114</v>
      </c>
      <c r="C18" t="s">
        <v>978</v>
      </c>
      <c r="D18" t="s">
        <v>979</v>
      </c>
    </row>
    <row r="19" spans="1:4" x14ac:dyDescent="0.25">
      <c r="A19" s="3" t="s">
        <v>115</v>
      </c>
      <c r="B19" t="s">
        <v>116</v>
      </c>
      <c r="C19">
        <v>1</v>
      </c>
      <c r="D19" t="s">
        <v>1</v>
      </c>
    </row>
    <row r="20" spans="1:4" x14ac:dyDescent="0.25">
      <c r="A20" s="3" t="s">
        <v>117</v>
      </c>
      <c r="B20" t="s">
        <v>118</v>
      </c>
      <c r="C20">
        <v>1</v>
      </c>
      <c r="D20" t="s">
        <v>1</v>
      </c>
    </row>
    <row r="21" spans="1:4" x14ac:dyDescent="0.25">
      <c r="A21" s="3" t="s">
        <v>119</v>
      </c>
      <c r="B21" t="s">
        <v>120</v>
      </c>
      <c r="C21">
        <v>1</v>
      </c>
      <c r="D21" t="s">
        <v>1</v>
      </c>
    </row>
    <row r="22" spans="1:4" x14ac:dyDescent="0.25">
      <c r="A22" s="3" t="s">
        <v>121</v>
      </c>
      <c r="B22" t="s">
        <v>122</v>
      </c>
      <c r="C22">
        <v>1</v>
      </c>
      <c r="D22" t="s">
        <v>1</v>
      </c>
    </row>
    <row r="23" spans="1:4" x14ac:dyDescent="0.25">
      <c r="A23" s="3" t="s">
        <v>123</v>
      </c>
      <c r="B23" t="s">
        <v>124</v>
      </c>
      <c r="C23">
        <v>1</v>
      </c>
      <c r="D23" t="s">
        <v>1</v>
      </c>
    </row>
    <row r="24" spans="1:4" x14ac:dyDescent="0.25">
      <c r="A24" s="3" t="s">
        <v>125</v>
      </c>
      <c r="B24" t="s">
        <v>126</v>
      </c>
      <c r="C24">
        <v>1</v>
      </c>
      <c r="D24" t="s">
        <v>1</v>
      </c>
    </row>
    <row r="25" spans="1:4" x14ac:dyDescent="0.25">
      <c r="A25" t="s">
        <v>1213</v>
      </c>
      <c r="B25" t="s">
        <v>1214</v>
      </c>
      <c r="C25">
        <v>1</v>
      </c>
      <c r="D25" t="s">
        <v>1</v>
      </c>
    </row>
    <row r="26" spans="1:4" x14ac:dyDescent="0.25">
      <c r="A26" s="3" t="s">
        <v>127</v>
      </c>
      <c r="B26" t="s">
        <v>128</v>
      </c>
      <c r="C26" t="s">
        <v>978</v>
      </c>
      <c r="D26" t="s">
        <v>979</v>
      </c>
    </row>
    <row r="27" spans="1:4" x14ac:dyDescent="0.25">
      <c r="A27" s="3" t="s">
        <v>129</v>
      </c>
      <c r="B27" t="s">
        <v>130</v>
      </c>
      <c r="C27">
        <v>1</v>
      </c>
      <c r="D27" t="s">
        <v>1</v>
      </c>
    </row>
    <row r="28" spans="1:4" x14ac:dyDescent="0.25">
      <c r="A28" s="3" t="s">
        <v>131</v>
      </c>
      <c r="B28" t="s">
        <v>132</v>
      </c>
      <c r="C28">
        <v>1</v>
      </c>
      <c r="D28" t="s">
        <v>1</v>
      </c>
    </row>
    <row r="29" spans="1:4" x14ac:dyDescent="0.25">
      <c r="A29" s="3" t="s">
        <v>133</v>
      </c>
      <c r="B29" t="s">
        <v>134</v>
      </c>
      <c r="C29" t="s">
        <v>978</v>
      </c>
      <c r="D29" t="s">
        <v>979</v>
      </c>
    </row>
    <row r="30" spans="1:4" x14ac:dyDescent="0.25">
      <c r="A30" s="3" t="s">
        <v>135</v>
      </c>
      <c r="B30" t="s">
        <v>136</v>
      </c>
      <c r="C30">
        <v>1</v>
      </c>
      <c r="D30" t="s">
        <v>1</v>
      </c>
    </row>
    <row r="31" spans="1:4" x14ac:dyDescent="0.25">
      <c r="A31" s="3" t="s">
        <v>137</v>
      </c>
      <c r="B31" t="s">
        <v>138</v>
      </c>
      <c r="C31">
        <v>1</v>
      </c>
      <c r="D31" t="s">
        <v>1</v>
      </c>
    </row>
    <row r="32" spans="1:4" x14ac:dyDescent="0.25">
      <c r="A32" s="3" t="s">
        <v>139</v>
      </c>
      <c r="B32" t="s">
        <v>140</v>
      </c>
      <c r="C32">
        <v>1</v>
      </c>
      <c r="D32" t="s">
        <v>1</v>
      </c>
    </row>
    <row r="33" spans="1:4" x14ac:dyDescent="0.25">
      <c r="A33" s="3" t="s">
        <v>141</v>
      </c>
      <c r="B33" t="s">
        <v>142</v>
      </c>
      <c r="C33" t="s">
        <v>978</v>
      </c>
      <c r="D33" t="s">
        <v>979</v>
      </c>
    </row>
    <row r="34" spans="1:4" x14ac:dyDescent="0.25">
      <c r="A34" s="3" t="s">
        <v>143</v>
      </c>
      <c r="B34" t="s">
        <v>144</v>
      </c>
      <c r="C34" t="s">
        <v>978</v>
      </c>
      <c r="D34" t="s">
        <v>979</v>
      </c>
    </row>
    <row r="35" spans="1:4" x14ac:dyDescent="0.25">
      <c r="A35" s="3" t="s">
        <v>145</v>
      </c>
      <c r="B35" t="s">
        <v>142</v>
      </c>
      <c r="C35">
        <v>2</v>
      </c>
      <c r="D35" t="s">
        <v>3</v>
      </c>
    </row>
    <row r="36" spans="1:4" x14ac:dyDescent="0.25">
      <c r="A36" s="3" t="s">
        <v>146</v>
      </c>
      <c r="B36" t="s">
        <v>147</v>
      </c>
      <c r="C36">
        <v>2</v>
      </c>
      <c r="D36" t="s">
        <v>3</v>
      </c>
    </row>
    <row r="37" spans="1:4" x14ac:dyDescent="0.25">
      <c r="A37" s="3" t="s">
        <v>148</v>
      </c>
      <c r="B37" t="s">
        <v>149</v>
      </c>
      <c r="C37" t="s">
        <v>978</v>
      </c>
      <c r="D37" t="s">
        <v>979</v>
      </c>
    </row>
    <row r="38" spans="1:4" x14ac:dyDescent="0.25">
      <c r="A38" s="3" t="s">
        <v>150</v>
      </c>
      <c r="B38" t="s">
        <v>151</v>
      </c>
      <c r="C38" t="s">
        <v>978</v>
      </c>
      <c r="D38" t="s">
        <v>979</v>
      </c>
    </row>
    <row r="39" spans="1:4" x14ac:dyDescent="0.25">
      <c r="A39" s="3" t="s">
        <v>152</v>
      </c>
      <c r="B39" t="s">
        <v>153</v>
      </c>
      <c r="C39">
        <v>3</v>
      </c>
      <c r="D39" t="s">
        <v>5</v>
      </c>
    </row>
    <row r="40" spans="1:4" x14ac:dyDescent="0.25">
      <c r="A40" s="3" t="s">
        <v>154</v>
      </c>
      <c r="B40" t="s">
        <v>155</v>
      </c>
      <c r="C40">
        <v>3</v>
      </c>
      <c r="D40" t="s">
        <v>5</v>
      </c>
    </row>
    <row r="41" spans="1:4" x14ac:dyDescent="0.25">
      <c r="A41" s="3" t="s">
        <v>156</v>
      </c>
      <c r="B41" t="s">
        <v>157</v>
      </c>
      <c r="C41">
        <v>3</v>
      </c>
      <c r="D41" t="s">
        <v>5</v>
      </c>
    </row>
    <row r="42" spans="1:4" x14ac:dyDescent="0.25">
      <c r="A42" s="3" t="s">
        <v>158</v>
      </c>
      <c r="B42" t="s">
        <v>159</v>
      </c>
      <c r="C42">
        <v>3</v>
      </c>
      <c r="D42" t="s">
        <v>5</v>
      </c>
    </row>
    <row r="43" spans="1:4" x14ac:dyDescent="0.25">
      <c r="A43" s="3" t="s">
        <v>160</v>
      </c>
      <c r="B43" t="s">
        <v>161</v>
      </c>
      <c r="C43">
        <v>3</v>
      </c>
      <c r="D43" t="s">
        <v>5</v>
      </c>
    </row>
    <row r="44" spans="1:4" x14ac:dyDescent="0.25">
      <c r="A44" s="3" t="s">
        <v>162</v>
      </c>
      <c r="B44" t="s">
        <v>163</v>
      </c>
      <c r="C44">
        <v>3</v>
      </c>
      <c r="D44" t="s">
        <v>5</v>
      </c>
    </row>
    <row r="45" spans="1:4" x14ac:dyDescent="0.25">
      <c r="A45" s="3" t="s">
        <v>1013</v>
      </c>
      <c r="B45" t="s">
        <v>1014</v>
      </c>
      <c r="C45">
        <v>3</v>
      </c>
      <c r="D45" t="s">
        <v>5</v>
      </c>
    </row>
    <row r="46" spans="1:4" x14ac:dyDescent="0.25">
      <c r="A46" s="3" t="s">
        <v>1043</v>
      </c>
      <c r="B46" t="s">
        <v>1044</v>
      </c>
      <c r="C46">
        <v>3</v>
      </c>
      <c r="D46" t="s">
        <v>5</v>
      </c>
    </row>
    <row r="47" spans="1:4" x14ac:dyDescent="0.25">
      <c r="A47" t="s">
        <v>1167</v>
      </c>
      <c r="B47" t="s">
        <v>569</v>
      </c>
      <c r="C47">
        <v>3</v>
      </c>
      <c r="D47" t="s">
        <v>5</v>
      </c>
    </row>
    <row r="48" spans="1:4" x14ac:dyDescent="0.25">
      <c r="A48" s="3" t="s">
        <v>164</v>
      </c>
      <c r="B48" t="s">
        <v>147</v>
      </c>
      <c r="C48">
        <v>3</v>
      </c>
      <c r="D48" t="s">
        <v>5</v>
      </c>
    </row>
    <row r="49" spans="1:4" x14ac:dyDescent="0.25">
      <c r="A49" t="s">
        <v>1142</v>
      </c>
      <c r="B49" t="s">
        <v>1143</v>
      </c>
      <c r="C49" t="s">
        <v>978</v>
      </c>
      <c r="D49" t="s">
        <v>979</v>
      </c>
    </row>
    <row r="50" spans="1:4" x14ac:dyDescent="0.25">
      <c r="A50" t="s">
        <v>1144</v>
      </c>
      <c r="B50" t="s">
        <v>1145</v>
      </c>
      <c r="C50">
        <v>3</v>
      </c>
      <c r="D50" t="s">
        <v>5</v>
      </c>
    </row>
    <row r="51" spans="1:4" x14ac:dyDescent="0.25">
      <c r="A51" s="3" t="s">
        <v>165</v>
      </c>
      <c r="B51" t="s">
        <v>166</v>
      </c>
      <c r="C51" t="s">
        <v>978</v>
      </c>
      <c r="D51" t="s">
        <v>979</v>
      </c>
    </row>
    <row r="52" spans="1:4" x14ac:dyDescent="0.25">
      <c r="A52" s="3" t="s">
        <v>167</v>
      </c>
      <c r="B52" t="s">
        <v>168</v>
      </c>
      <c r="C52" t="s">
        <v>978</v>
      </c>
      <c r="D52" t="s">
        <v>979</v>
      </c>
    </row>
    <row r="53" spans="1:4" x14ac:dyDescent="0.25">
      <c r="A53" s="3" t="s">
        <v>169</v>
      </c>
      <c r="B53" t="s">
        <v>170</v>
      </c>
      <c r="C53">
        <v>4</v>
      </c>
      <c r="D53" t="s">
        <v>7</v>
      </c>
    </row>
    <row r="54" spans="1:4" x14ac:dyDescent="0.25">
      <c r="A54" s="3" t="s">
        <v>171</v>
      </c>
      <c r="B54" t="s">
        <v>172</v>
      </c>
      <c r="C54">
        <v>4</v>
      </c>
      <c r="D54" t="s">
        <v>7</v>
      </c>
    </row>
    <row r="55" spans="1:4" x14ac:dyDescent="0.25">
      <c r="A55" s="3" t="s">
        <v>173</v>
      </c>
      <c r="B55" t="s">
        <v>174</v>
      </c>
      <c r="C55">
        <v>4</v>
      </c>
      <c r="D55" t="s">
        <v>7</v>
      </c>
    </row>
    <row r="56" spans="1:4" x14ac:dyDescent="0.25">
      <c r="A56" s="3" t="s">
        <v>175</v>
      </c>
      <c r="B56" t="s">
        <v>176</v>
      </c>
      <c r="C56">
        <v>4</v>
      </c>
      <c r="D56" t="s">
        <v>7</v>
      </c>
    </row>
    <row r="57" spans="1:4" x14ac:dyDescent="0.25">
      <c r="A57" s="3" t="s">
        <v>177</v>
      </c>
      <c r="B57" t="s">
        <v>178</v>
      </c>
      <c r="C57">
        <v>4</v>
      </c>
      <c r="D57" t="s">
        <v>7</v>
      </c>
    </row>
    <row r="58" spans="1:4" x14ac:dyDescent="0.25">
      <c r="A58" s="3" t="s">
        <v>179</v>
      </c>
      <c r="B58" t="s">
        <v>180</v>
      </c>
      <c r="C58">
        <v>4</v>
      </c>
      <c r="D58" t="s">
        <v>7</v>
      </c>
    </row>
    <row r="59" spans="1:4" x14ac:dyDescent="0.25">
      <c r="A59" s="3" t="s">
        <v>181</v>
      </c>
      <c r="B59" t="s">
        <v>182</v>
      </c>
      <c r="C59">
        <v>4</v>
      </c>
      <c r="D59" t="s">
        <v>7</v>
      </c>
    </row>
    <row r="60" spans="1:4" x14ac:dyDescent="0.25">
      <c r="A60" s="3" t="s">
        <v>183</v>
      </c>
      <c r="B60" t="s">
        <v>184</v>
      </c>
      <c r="C60">
        <v>4</v>
      </c>
      <c r="D60" t="s">
        <v>7</v>
      </c>
    </row>
    <row r="61" spans="1:4" x14ac:dyDescent="0.25">
      <c r="A61" s="3" t="s">
        <v>185</v>
      </c>
      <c r="B61" t="s">
        <v>186</v>
      </c>
      <c r="C61">
        <v>4</v>
      </c>
      <c r="D61" t="s">
        <v>7</v>
      </c>
    </row>
    <row r="62" spans="1:4" x14ac:dyDescent="0.25">
      <c r="A62" s="3" t="s">
        <v>187</v>
      </c>
      <c r="B62" t="s">
        <v>188</v>
      </c>
      <c r="C62">
        <v>4</v>
      </c>
      <c r="D62" t="s">
        <v>7</v>
      </c>
    </row>
    <row r="63" spans="1:4" x14ac:dyDescent="0.25">
      <c r="A63" s="3" t="s">
        <v>189</v>
      </c>
      <c r="B63" t="s">
        <v>190</v>
      </c>
      <c r="C63">
        <v>4</v>
      </c>
      <c r="D63" t="s">
        <v>7</v>
      </c>
    </row>
    <row r="64" spans="1:4" x14ac:dyDescent="0.25">
      <c r="A64" s="3" t="s">
        <v>191</v>
      </c>
      <c r="B64" t="s">
        <v>192</v>
      </c>
      <c r="C64" t="s">
        <v>978</v>
      </c>
      <c r="D64" t="s">
        <v>979</v>
      </c>
    </row>
    <row r="65" spans="1:4" x14ac:dyDescent="0.25">
      <c r="A65" s="3" t="s">
        <v>193</v>
      </c>
      <c r="B65" t="s">
        <v>194</v>
      </c>
      <c r="C65">
        <v>4</v>
      </c>
      <c r="D65" t="s">
        <v>7</v>
      </c>
    </row>
    <row r="66" spans="1:4" x14ac:dyDescent="0.25">
      <c r="A66" s="3" t="s">
        <v>195</v>
      </c>
      <c r="B66" t="s">
        <v>196</v>
      </c>
      <c r="C66">
        <v>4</v>
      </c>
      <c r="D66" t="s">
        <v>7</v>
      </c>
    </row>
    <row r="67" spans="1:4" x14ac:dyDescent="0.25">
      <c r="A67" s="3" t="s">
        <v>197</v>
      </c>
      <c r="B67" t="s">
        <v>198</v>
      </c>
      <c r="C67">
        <v>4</v>
      </c>
      <c r="D67" t="s">
        <v>7</v>
      </c>
    </row>
    <row r="68" spans="1:4" x14ac:dyDescent="0.25">
      <c r="A68" s="3" t="s">
        <v>199</v>
      </c>
      <c r="B68" t="s">
        <v>200</v>
      </c>
      <c r="C68">
        <v>4</v>
      </c>
      <c r="D68" t="s">
        <v>7</v>
      </c>
    </row>
    <row r="69" spans="1:4" x14ac:dyDescent="0.25">
      <c r="A69" s="3" t="s">
        <v>201</v>
      </c>
      <c r="B69" t="s">
        <v>202</v>
      </c>
      <c r="C69">
        <v>4</v>
      </c>
      <c r="D69" t="s">
        <v>7</v>
      </c>
    </row>
    <row r="70" spans="1:4" x14ac:dyDescent="0.25">
      <c r="A70" t="s">
        <v>1200</v>
      </c>
      <c r="B70" t="s">
        <v>1201</v>
      </c>
      <c r="C70">
        <v>4</v>
      </c>
      <c r="D70" t="s">
        <v>7</v>
      </c>
    </row>
    <row r="71" spans="1:4" x14ac:dyDescent="0.25">
      <c r="A71" s="3" t="s">
        <v>203</v>
      </c>
      <c r="B71" t="s">
        <v>204</v>
      </c>
      <c r="C71">
        <v>4</v>
      </c>
      <c r="D71" t="s">
        <v>7</v>
      </c>
    </row>
    <row r="72" spans="1:4" x14ac:dyDescent="0.25">
      <c r="A72" s="3" t="s">
        <v>205</v>
      </c>
      <c r="B72" t="s">
        <v>206</v>
      </c>
      <c r="C72">
        <v>4</v>
      </c>
      <c r="D72" t="s">
        <v>7</v>
      </c>
    </row>
    <row r="73" spans="1:4" x14ac:dyDescent="0.25">
      <c r="A73" s="3" t="s">
        <v>207</v>
      </c>
      <c r="B73" t="s">
        <v>208</v>
      </c>
      <c r="C73">
        <v>4</v>
      </c>
      <c r="D73" t="s">
        <v>7</v>
      </c>
    </row>
    <row r="74" spans="1:4" x14ac:dyDescent="0.25">
      <c r="A74" s="3" t="s">
        <v>209</v>
      </c>
      <c r="B74" t="s">
        <v>210</v>
      </c>
      <c r="C74">
        <v>4</v>
      </c>
      <c r="D74" t="s">
        <v>7</v>
      </c>
    </row>
    <row r="75" spans="1:4" x14ac:dyDescent="0.25">
      <c r="A75" s="3" t="s">
        <v>211</v>
      </c>
      <c r="B75" t="s">
        <v>212</v>
      </c>
      <c r="C75">
        <v>4</v>
      </c>
      <c r="D75" t="s">
        <v>7</v>
      </c>
    </row>
    <row r="76" spans="1:4" x14ac:dyDescent="0.25">
      <c r="A76" t="s">
        <v>1131</v>
      </c>
      <c r="B76" t="s">
        <v>1132</v>
      </c>
      <c r="C76">
        <v>4</v>
      </c>
      <c r="D76" t="s">
        <v>7</v>
      </c>
    </row>
    <row r="77" spans="1:4" x14ac:dyDescent="0.25">
      <c r="A77" s="3" t="s">
        <v>213</v>
      </c>
      <c r="B77" t="s">
        <v>214</v>
      </c>
      <c r="C77" t="s">
        <v>978</v>
      </c>
      <c r="D77" t="s">
        <v>979</v>
      </c>
    </row>
    <row r="78" spans="1:4" x14ac:dyDescent="0.25">
      <c r="A78" s="3" t="s">
        <v>215</v>
      </c>
      <c r="B78" t="s">
        <v>216</v>
      </c>
      <c r="C78">
        <v>4</v>
      </c>
      <c r="D78" t="s">
        <v>7</v>
      </c>
    </row>
    <row r="79" spans="1:4" x14ac:dyDescent="0.25">
      <c r="A79" s="3" t="s">
        <v>217</v>
      </c>
      <c r="B79" t="s">
        <v>218</v>
      </c>
      <c r="C79">
        <v>4</v>
      </c>
      <c r="D79" t="s">
        <v>7</v>
      </c>
    </row>
    <row r="80" spans="1:4" x14ac:dyDescent="0.25">
      <c r="A80" s="3" t="s">
        <v>219</v>
      </c>
      <c r="B80" t="s">
        <v>220</v>
      </c>
      <c r="C80">
        <v>4</v>
      </c>
      <c r="D80" t="s">
        <v>7</v>
      </c>
    </row>
    <row r="81" spans="1:4" x14ac:dyDescent="0.25">
      <c r="A81" s="3" t="s">
        <v>221</v>
      </c>
      <c r="B81" t="s">
        <v>222</v>
      </c>
      <c r="C81">
        <v>4</v>
      </c>
      <c r="D81" t="s">
        <v>7</v>
      </c>
    </row>
    <row r="82" spans="1:4" x14ac:dyDescent="0.25">
      <c r="A82" s="3" t="s">
        <v>223</v>
      </c>
      <c r="B82" t="s">
        <v>224</v>
      </c>
      <c r="C82">
        <v>4</v>
      </c>
      <c r="D82" t="s">
        <v>7</v>
      </c>
    </row>
    <row r="83" spans="1:4" x14ac:dyDescent="0.25">
      <c r="A83" t="s">
        <v>1202</v>
      </c>
      <c r="B83" t="s">
        <v>1203</v>
      </c>
      <c r="C83">
        <v>4</v>
      </c>
      <c r="D83" t="s">
        <v>7</v>
      </c>
    </row>
    <row r="84" spans="1:4" x14ac:dyDescent="0.25">
      <c r="A84" s="3" t="s">
        <v>225</v>
      </c>
      <c r="B84" t="s">
        <v>226</v>
      </c>
      <c r="C84">
        <v>4</v>
      </c>
      <c r="D84" t="s">
        <v>7</v>
      </c>
    </row>
    <row r="85" spans="1:4" x14ac:dyDescent="0.25">
      <c r="A85" s="3" t="s">
        <v>227</v>
      </c>
      <c r="B85" t="s">
        <v>228</v>
      </c>
      <c r="C85">
        <v>4</v>
      </c>
      <c r="D85" t="s">
        <v>7</v>
      </c>
    </row>
    <row r="86" spans="1:4" x14ac:dyDescent="0.25">
      <c r="A86" s="3" t="s">
        <v>229</v>
      </c>
      <c r="B86" t="s">
        <v>230</v>
      </c>
      <c r="C86">
        <v>4</v>
      </c>
      <c r="D86" t="s">
        <v>7</v>
      </c>
    </row>
    <row r="87" spans="1:4" x14ac:dyDescent="0.25">
      <c r="A87" s="3" t="s">
        <v>231</v>
      </c>
      <c r="B87" t="s">
        <v>232</v>
      </c>
      <c r="C87">
        <v>4</v>
      </c>
      <c r="D87" t="s">
        <v>7</v>
      </c>
    </row>
    <row r="88" spans="1:4" x14ac:dyDescent="0.25">
      <c r="A88" s="3" t="s">
        <v>233</v>
      </c>
      <c r="B88" t="s">
        <v>234</v>
      </c>
      <c r="C88">
        <v>4</v>
      </c>
      <c r="D88" t="s">
        <v>7</v>
      </c>
    </row>
    <row r="89" spans="1:4" x14ac:dyDescent="0.25">
      <c r="A89" t="s">
        <v>1133</v>
      </c>
      <c r="B89" t="s">
        <v>1134</v>
      </c>
      <c r="C89">
        <v>4</v>
      </c>
      <c r="D89" t="s">
        <v>7</v>
      </c>
    </row>
    <row r="90" spans="1:4" x14ac:dyDescent="0.25">
      <c r="A90" s="3" t="s">
        <v>235</v>
      </c>
      <c r="B90" t="s">
        <v>236</v>
      </c>
      <c r="C90" t="s">
        <v>978</v>
      </c>
      <c r="D90" t="s">
        <v>979</v>
      </c>
    </row>
    <row r="91" spans="1:4" x14ac:dyDescent="0.25">
      <c r="A91" s="3" t="s">
        <v>237</v>
      </c>
      <c r="B91" t="s">
        <v>238</v>
      </c>
      <c r="C91">
        <v>4</v>
      </c>
      <c r="D91" t="s">
        <v>7</v>
      </c>
    </row>
    <row r="92" spans="1:4" x14ac:dyDescent="0.25">
      <c r="A92" s="3" t="s">
        <v>239</v>
      </c>
      <c r="B92" t="s">
        <v>240</v>
      </c>
      <c r="C92">
        <v>4</v>
      </c>
      <c r="D92" t="s">
        <v>7</v>
      </c>
    </row>
    <row r="93" spans="1:4" x14ac:dyDescent="0.25">
      <c r="A93" s="3" t="s">
        <v>241</v>
      </c>
      <c r="B93" t="s">
        <v>242</v>
      </c>
      <c r="C93">
        <v>4</v>
      </c>
      <c r="D93" t="s">
        <v>7</v>
      </c>
    </row>
    <row r="94" spans="1:4" x14ac:dyDescent="0.25">
      <c r="A94" s="3" t="s">
        <v>243</v>
      </c>
      <c r="B94" t="s">
        <v>244</v>
      </c>
      <c r="C94">
        <v>4</v>
      </c>
      <c r="D94" t="s">
        <v>7</v>
      </c>
    </row>
    <row r="95" spans="1:4" x14ac:dyDescent="0.25">
      <c r="A95" t="s">
        <v>1204</v>
      </c>
      <c r="B95" t="s">
        <v>1205</v>
      </c>
      <c r="C95">
        <v>4</v>
      </c>
      <c r="D95" t="s">
        <v>7</v>
      </c>
    </row>
    <row r="96" spans="1:4" x14ac:dyDescent="0.25">
      <c r="A96" t="s">
        <v>1206</v>
      </c>
      <c r="B96" t="s">
        <v>1207</v>
      </c>
      <c r="C96">
        <v>4</v>
      </c>
      <c r="D96" t="s">
        <v>7</v>
      </c>
    </row>
    <row r="97" spans="1:4" x14ac:dyDescent="0.25">
      <c r="A97" s="3" t="s">
        <v>245</v>
      </c>
      <c r="B97" t="s">
        <v>246</v>
      </c>
      <c r="C97">
        <v>4</v>
      </c>
      <c r="D97" t="s">
        <v>7</v>
      </c>
    </row>
    <row r="98" spans="1:4" x14ac:dyDescent="0.25">
      <c r="A98" s="18" t="s">
        <v>1102</v>
      </c>
      <c r="B98" s="18" t="s">
        <v>1103</v>
      </c>
      <c r="C98">
        <v>4</v>
      </c>
      <c r="D98" t="s">
        <v>7</v>
      </c>
    </row>
    <row r="99" spans="1:4" x14ac:dyDescent="0.25">
      <c r="A99" s="3" t="s">
        <v>247</v>
      </c>
      <c r="B99" t="s">
        <v>248</v>
      </c>
      <c r="C99" t="s">
        <v>978</v>
      </c>
      <c r="D99" t="s">
        <v>979</v>
      </c>
    </row>
    <row r="100" spans="1:4" x14ac:dyDescent="0.25">
      <c r="A100" s="3" t="s">
        <v>249</v>
      </c>
      <c r="B100" t="s">
        <v>250</v>
      </c>
      <c r="C100" t="s">
        <v>978</v>
      </c>
      <c r="D100" t="s">
        <v>979</v>
      </c>
    </row>
    <row r="101" spans="1:4" x14ac:dyDescent="0.25">
      <c r="A101" s="3" t="s">
        <v>251</v>
      </c>
      <c r="B101" t="s">
        <v>252</v>
      </c>
      <c r="C101">
        <v>5</v>
      </c>
      <c r="D101" t="s">
        <v>9</v>
      </c>
    </row>
    <row r="102" spans="1:4" x14ac:dyDescent="0.25">
      <c r="A102" s="3" t="s">
        <v>253</v>
      </c>
      <c r="B102" t="s">
        <v>254</v>
      </c>
      <c r="C102">
        <v>5</v>
      </c>
      <c r="D102" t="s">
        <v>9</v>
      </c>
    </row>
    <row r="103" spans="1:4" x14ac:dyDescent="0.25">
      <c r="A103" s="3" t="s">
        <v>255</v>
      </c>
      <c r="B103" t="s">
        <v>256</v>
      </c>
      <c r="C103" t="s">
        <v>978</v>
      </c>
      <c r="D103" t="s">
        <v>979</v>
      </c>
    </row>
    <row r="104" spans="1:4" x14ac:dyDescent="0.25">
      <c r="A104" s="3" t="s">
        <v>257</v>
      </c>
      <c r="B104" t="s">
        <v>258</v>
      </c>
      <c r="C104" t="s">
        <v>978</v>
      </c>
      <c r="D104" t="s">
        <v>979</v>
      </c>
    </row>
    <row r="105" spans="1:4" x14ac:dyDescent="0.25">
      <c r="A105" s="3" t="s">
        <v>259</v>
      </c>
      <c r="B105" t="s">
        <v>260</v>
      </c>
      <c r="C105">
        <v>6</v>
      </c>
      <c r="D105" t="s">
        <v>12</v>
      </c>
    </row>
    <row r="106" spans="1:4" x14ac:dyDescent="0.25">
      <c r="A106" s="3" t="s">
        <v>261</v>
      </c>
      <c r="B106" t="s">
        <v>262</v>
      </c>
      <c r="C106">
        <v>6</v>
      </c>
      <c r="D106" t="s">
        <v>12</v>
      </c>
    </row>
    <row r="107" spans="1:4" x14ac:dyDescent="0.25">
      <c r="A107" s="3" t="s">
        <v>263</v>
      </c>
      <c r="B107" t="s">
        <v>264</v>
      </c>
      <c r="C107">
        <v>6</v>
      </c>
      <c r="D107" t="s">
        <v>12</v>
      </c>
    </row>
    <row r="108" spans="1:4" x14ac:dyDescent="0.25">
      <c r="A108" s="3" t="s">
        <v>265</v>
      </c>
      <c r="B108" t="s">
        <v>266</v>
      </c>
      <c r="C108">
        <v>6</v>
      </c>
      <c r="D108" t="s">
        <v>12</v>
      </c>
    </row>
    <row r="109" spans="1:4" x14ac:dyDescent="0.25">
      <c r="A109" s="3" t="s">
        <v>267</v>
      </c>
      <c r="B109" t="s">
        <v>268</v>
      </c>
      <c r="C109" t="s">
        <v>978</v>
      </c>
      <c r="D109" t="s">
        <v>979</v>
      </c>
    </row>
    <row r="110" spans="1:4" x14ac:dyDescent="0.25">
      <c r="A110" s="3" t="s">
        <v>269</v>
      </c>
      <c r="B110" t="s">
        <v>270</v>
      </c>
      <c r="C110">
        <v>6</v>
      </c>
      <c r="D110" t="s">
        <v>12</v>
      </c>
    </row>
    <row r="111" spans="1:4" x14ac:dyDescent="0.25">
      <c r="A111" s="3" t="s">
        <v>271</v>
      </c>
      <c r="B111" t="s">
        <v>272</v>
      </c>
      <c r="C111" t="s">
        <v>978</v>
      </c>
      <c r="D111" t="s">
        <v>979</v>
      </c>
    </row>
    <row r="112" spans="1:4" x14ac:dyDescent="0.25">
      <c r="A112" s="3" t="s">
        <v>273</v>
      </c>
      <c r="B112" t="s">
        <v>274</v>
      </c>
      <c r="C112">
        <v>6</v>
      </c>
      <c r="D112" t="s">
        <v>12</v>
      </c>
    </row>
    <row r="113" spans="1:4" x14ac:dyDescent="0.25">
      <c r="A113" s="3" t="s">
        <v>275</v>
      </c>
      <c r="B113" t="s">
        <v>276</v>
      </c>
      <c r="C113">
        <v>6</v>
      </c>
      <c r="D113" t="s">
        <v>12</v>
      </c>
    </row>
    <row r="114" spans="1:4" x14ac:dyDescent="0.25">
      <c r="A114" s="3" t="s">
        <v>277</v>
      </c>
      <c r="B114" t="s">
        <v>278</v>
      </c>
      <c r="C114">
        <v>6</v>
      </c>
      <c r="D114" t="s">
        <v>12</v>
      </c>
    </row>
    <row r="115" spans="1:4" x14ac:dyDescent="0.25">
      <c r="A115" s="3" t="s">
        <v>279</v>
      </c>
      <c r="B115" t="s">
        <v>280</v>
      </c>
      <c r="C115">
        <v>6</v>
      </c>
      <c r="D115" t="s">
        <v>12</v>
      </c>
    </row>
    <row r="116" spans="1:4" x14ac:dyDescent="0.25">
      <c r="A116" s="3" t="s">
        <v>1032</v>
      </c>
      <c r="B116" t="s">
        <v>1033</v>
      </c>
      <c r="C116" t="s">
        <v>978</v>
      </c>
      <c r="D116" t="s">
        <v>979</v>
      </c>
    </row>
    <row r="117" spans="1:4" x14ac:dyDescent="0.25">
      <c r="A117" s="3" t="s">
        <v>1034</v>
      </c>
      <c r="B117" t="s">
        <v>264</v>
      </c>
      <c r="C117">
        <v>6</v>
      </c>
      <c r="D117" t="s">
        <v>12</v>
      </c>
    </row>
    <row r="118" spans="1:4" x14ac:dyDescent="0.25">
      <c r="A118" t="s">
        <v>1168</v>
      </c>
      <c r="B118" t="s">
        <v>1169</v>
      </c>
      <c r="C118" t="s">
        <v>978</v>
      </c>
      <c r="D118" t="s">
        <v>979</v>
      </c>
    </row>
    <row r="119" spans="1:4" x14ac:dyDescent="0.25">
      <c r="A119" t="s">
        <v>1170</v>
      </c>
      <c r="B119" t="s">
        <v>278</v>
      </c>
      <c r="C119">
        <v>6</v>
      </c>
      <c r="D119" t="s">
        <v>12</v>
      </c>
    </row>
    <row r="120" spans="1:4" x14ac:dyDescent="0.25">
      <c r="A120" t="s">
        <v>1171</v>
      </c>
      <c r="B120" t="s">
        <v>280</v>
      </c>
      <c r="C120">
        <v>6</v>
      </c>
      <c r="D120" t="s">
        <v>12</v>
      </c>
    </row>
    <row r="121" spans="1:4" x14ac:dyDescent="0.25">
      <c r="A121" t="s">
        <v>1172</v>
      </c>
      <c r="B121" t="s">
        <v>1173</v>
      </c>
      <c r="C121">
        <v>6</v>
      </c>
      <c r="D121" t="s">
        <v>12</v>
      </c>
    </row>
    <row r="122" spans="1:4" x14ac:dyDescent="0.25">
      <c r="A122" s="3" t="s">
        <v>281</v>
      </c>
      <c r="B122" t="s">
        <v>282</v>
      </c>
      <c r="C122" t="s">
        <v>978</v>
      </c>
      <c r="D122" t="s">
        <v>979</v>
      </c>
    </row>
    <row r="123" spans="1:4" x14ac:dyDescent="0.25">
      <c r="A123" s="3" t="s">
        <v>982</v>
      </c>
      <c r="B123" t="s">
        <v>983</v>
      </c>
      <c r="C123" t="s">
        <v>978</v>
      </c>
      <c r="D123" t="s">
        <v>979</v>
      </c>
    </row>
    <row r="124" spans="1:4" x14ac:dyDescent="0.25">
      <c r="A124" s="3" t="s">
        <v>1061</v>
      </c>
      <c r="B124" t="s">
        <v>1062</v>
      </c>
      <c r="C124">
        <v>7</v>
      </c>
      <c r="D124" t="s">
        <v>13</v>
      </c>
    </row>
    <row r="125" spans="1:4" x14ac:dyDescent="0.25">
      <c r="A125" s="3" t="s">
        <v>1063</v>
      </c>
      <c r="B125" t="s">
        <v>1064</v>
      </c>
      <c r="C125">
        <v>7</v>
      </c>
      <c r="D125" t="s">
        <v>13</v>
      </c>
    </row>
    <row r="126" spans="1:4" x14ac:dyDescent="0.25">
      <c r="A126" s="3" t="s">
        <v>984</v>
      </c>
      <c r="B126" t="s">
        <v>985</v>
      </c>
      <c r="C126">
        <v>7</v>
      </c>
      <c r="D126" t="s">
        <v>13</v>
      </c>
    </row>
    <row r="127" spans="1:4" x14ac:dyDescent="0.25">
      <c r="A127" s="3" t="s">
        <v>283</v>
      </c>
      <c r="B127" t="s">
        <v>284</v>
      </c>
      <c r="C127" t="s">
        <v>978</v>
      </c>
      <c r="D127" t="s">
        <v>979</v>
      </c>
    </row>
    <row r="128" spans="1:4" x14ac:dyDescent="0.25">
      <c r="A128" s="3" t="s">
        <v>285</v>
      </c>
      <c r="B128" t="s">
        <v>286</v>
      </c>
      <c r="C128">
        <v>7</v>
      </c>
      <c r="D128" t="s">
        <v>13</v>
      </c>
    </row>
    <row r="129" spans="1:4" x14ac:dyDescent="0.25">
      <c r="A129" s="3" t="s">
        <v>287</v>
      </c>
      <c r="B129" t="s">
        <v>288</v>
      </c>
      <c r="C129" t="s">
        <v>978</v>
      </c>
      <c r="D129" t="s">
        <v>979</v>
      </c>
    </row>
    <row r="130" spans="1:4" x14ac:dyDescent="0.25">
      <c r="A130" s="3" t="s">
        <v>289</v>
      </c>
      <c r="B130" t="s">
        <v>290</v>
      </c>
      <c r="C130">
        <v>8</v>
      </c>
      <c r="D130" t="s">
        <v>16</v>
      </c>
    </row>
    <row r="131" spans="1:4" x14ac:dyDescent="0.25">
      <c r="A131" s="3" t="s">
        <v>291</v>
      </c>
      <c r="B131" t="s">
        <v>292</v>
      </c>
      <c r="C131">
        <v>8</v>
      </c>
      <c r="D131" t="s">
        <v>16</v>
      </c>
    </row>
    <row r="132" spans="1:4" x14ac:dyDescent="0.25">
      <c r="A132" s="3" t="s">
        <v>293</v>
      </c>
      <c r="B132" t="s">
        <v>294</v>
      </c>
      <c r="C132">
        <v>8</v>
      </c>
      <c r="D132" t="s">
        <v>16</v>
      </c>
    </row>
    <row r="133" spans="1:4" x14ac:dyDescent="0.25">
      <c r="A133" s="3" t="s">
        <v>295</v>
      </c>
      <c r="B133" t="s">
        <v>296</v>
      </c>
      <c r="C133">
        <v>8</v>
      </c>
      <c r="D133" t="s">
        <v>16</v>
      </c>
    </row>
    <row r="134" spans="1:4" x14ac:dyDescent="0.25">
      <c r="A134" s="3" t="s">
        <v>1021</v>
      </c>
      <c r="B134" t="s">
        <v>310</v>
      </c>
      <c r="C134" t="s">
        <v>978</v>
      </c>
      <c r="D134" t="s">
        <v>979</v>
      </c>
    </row>
    <row r="135" spans="1:4" x14ac:dyDescent="0.25">
      <c r="A135" s="3" t="s">
        <v>1022</v>
      </c>
      <c r="B135" t="s">
        <v>1023</v>
      </c>
      <c r="C135" t="s">
        <v>978</v>
      </c>
      <c r="D135" t="s">
        <v>979</v>
      </c>
    </row>
    <row r="136" spans="1:4" x14ac:dyDescent="0.25">
      <c r="A136" s="3" t="s">
        <v>1024</v>
      </c>
      <c r="B136" t="s">
        <v>1025</v>
      </c>
      <c r="C136">
        <v>5</v>
      </c>
      <c r="D136" t="s">
        <v>9</v>
      </c>
    </row>
    <row r="137" spans="1:4" x14ac:dyDescent="0.25">
      <c r="A137" s="3" t="s">
        <v>297</v>
      </c>
      <c r="B137" t="s">
        <v>298</v>
      </c>
      <c r="C137" t="s">
        <v>978</v>
      </c>
      <c r="D137" t="s">
        <v>979</v>
      </c>
    </row>
    <row r="138" spans="1:4" x14ac:dyDescent="0.25">
      <c r="A138" s="3" t="s">
        <v>299</v>
      </c>
      <c r="B138" t="s">
        <v>300</v>
      </c>
      <c r="C138" t="s">
        <v>978</v>
      </c>
      <c r="D138" t="s">
        <v>979</v>
      </c>
    </row>
    <row r="139" spans="1:4" x14ac:dyDescent="0.25">
      <c r="A139" s="3" t="s">
        <v>301</v>
      </c>
      <c r="B139" t="s">
        <v>302</v>
      </c>
      <c r="C139">
        <v>9</v>
      </c>
      <c r="D139" t="s">
        <v>79</v>
      </c>
    </row>
    <row r="140" spans="1:4" x14ac:dyDescent="0.25">
      <c r="A140" s="3" t="s">
        <v>303</v>
      </c>
      <c r="B140" t="s">
        <v>304</v>
      </c>
      <c r="C140">
        <v>9</v>
      </c>
      <c r="D140" t="s">
        <v>79</v>
      </c>
    </row>
    <row r="141" spans="1:4" x14ac:dyDescent="0.25">
      <c r="A141" s="3" t="s">
        <v>305</v>
      </c>
      <c r="B141" t="s">
        <v>306</v>
      </c>
      <c r="C141">
        <v>9</v>
      </c>
      <c r="D141" t="s">
        <v>79</v>
      </c>
    </row>
    <row r="142" spans="1:4" x14ac:dyDescent="0.25">
      <c r="A142" s="3" t="s">
        <v>307</v>
      </c>
      <c r="B142" t="s">
        <v>308</v>
      </c>
      <c r="C142" t="s">
        <v>978</v>
      </c>
      <c r="D142" t="s">
        <v>979</v>
      </c>
    </row>
    <row r="143" spans="1:4" x14ac:dyDescent="0.25">
      <c r="A143" s="3" t="s">
        <v>309</v>
      </c>
      <c r="B143" t="s">
        <v>310</v>
      </c>
      <c r="C143" t="s">
        <v>978</v>
      </c>
      <c r="D143" t="s">
        <v>979</v>
      </c>
    </row>
    <row r="144" spans="1:4" x14ac:dyDescent="0.25">
      <c r="A144" s="3" t="s">
        <v>311</v>
      </c>
      <c r="B144" t="s">
        <v>312</v>
      </c>
      <c r="C144" t="s">
        <v>978</v>
      </c>
      <c r="D144" t="s">
        <v>979</v>
      </c>
    </row>
    <row r="145" spans="1:4" x14ac:dyDescent="0.25">
      <c r="A145" s="3" t="s">
        <v>313</v>
      </c>
      <c r="B145" t="s">
        <v>314</v>
      </c>
      <c r="C145">
        <v>10</v>
      </c>
      <c r="D145" t="s">
        <v>22</v>
      </c>
    </row>
    <row r="146" spans="1:4" x14ac:dyDescent="0.25">
      <c r="A146" t="s">
        <v>1174</v>
      </c>
      <c r="B146" t="s">
        <v>1175</v>
      </c>
      <c r="C146">
        <v>10</v>
      </c>
      <c r="D146" t="s">
        <v>22</v>
      </c>
    </row>
    <row r="147" spans="1:4" x14ac:dyDescent="0.25">
      <c r="A147" s="3" t="s">
        <v>315</v>
      </c>
      <c r="B147" t="s">
        <v>316</v>
      </c>
      <c r="C147" t="s">
        <v>978</v>
      </c>
      <c r="D147" t="s">
        <v>979</v>
      </c>
    </row>
    <row r="148" spans="1:4" x14ac:dyDescent="0.25">
      <c r="A148" s="3" t="s">
        <v>317</v>
      </c>
      <c r="B148" t="s">
        <v>318</v>
      </c>
      <c r="C148">
        <v>11</v>
      </c>
      <c r="D148" t="s">
        <v>18</v>
      </c>
    </row>
    <row r="149" spans="1:4" x14ac:dyDescent="0.25">
      <c r="A149" s="3" t="s">
        <v>319</v>
      </c>
      <c r="B149" t="s">
        <v>320</v>
      </c>
      <c r="C149">
        <v>11</v>
      </c>
      <c r="D149" t="s">
        <v>18</v>
      </c>
    </row>
    <row r="150" spans="1:4" x14ac:dyDescent="0.25">
      <c r="A150" s="3" t="s">
        <v>321</v>
      </c>
      <c r="B150" t="s">
        <v>322</v>
      </c>
      <c r="C150">
        <v>11</v>
      </c>
      <c r="D150" t="s">
        <v>18</v>
      </c>
    </row>
    <row r="151" spans="1:4" x14ac:dyDescent="0.25">
      <c r="A151" s="3" t="s">
        <v>323</v>
      </c>
      <c r="B151" t="s">
        <v>324</v>
      </c>
      <c r="C151">
        <v>11</v>
      </c>
      <c r="D151" t="s">
        <v>18</v>
      </c>
    </row>
    <row r="152" spans="1:4" x14ac:dyDescent="0.25">
      <c r="A152" s="3" t="s">
        <v>999</v>
      </c>
      <c r="B152" t="s">
        <v>1000</v>
      </c>
      <c r="C152" t="s">
        <v>978</v>
      </c>
      <c r="D152" t="s">
        <v>979</v>
      </c>
    </row>
    <row r="153" spans="1:4" x14ac:dyDescent="0.25">
      <c r="A153" s="3" t="s">
        <v>1001</v>
      </c>
      <c r="B153" t="s">
        <v>118</v>
      </c>
      <c r="C153">
        <v>13</v>
      </c>
      <c r="D153" t="s">
        <v>9</v>
      </c>
    </row>
    <row r="154" spans="1:4" x14ac:dyDescent="0.25">
      <c r="A154" s="3" t="s">
        <v>1002</v>
      </c>
      <c r="B154" t="s">
        <v>120</v>
      </c>
      <c r="C154">
        <v>13</v>
      </c>
      <c r="D154" t="s">
        <v>9</v>
      </c>
    </row>
    <row r="155" spans="1:4" x14ac:dyDescent="0.25">
      <c r="A155" s="3" t="s">
        <v>325</v>
      </c>
      <c r="B155" t="s">
        <v>326</v>
      </c>
      <c r="C155" t="s">
        <v>978</v>
      </c>
      <c r="D155" t="s">
        <v>979</v>
      </c>
    </row>
    <row r="156" spans="1:4" x14ac:dyDescent="0.25">
      <c r="A156" s="3" t="s">
        <v>327</v>
      </c>
      <c r="B156" t="s">
        <v>134</v>
      </c>
      <c r="C156" t="s">
        <v>978</v>
      </c>
      <c r="D156" t="s">
        <v>979</v>
      </c>
    </row>
    <row r="157" spans="1:4" x14ac:dyDescent="0.25">
      <c r="A157" s="3" t="s">
        <v>328</v>
      </c>
      <c r="B157" t="s">
        <v>329</v>
      </c>
      <c r="C157" t="s">
        <v>978</v>
      </c>
      <c r="D157" t="s">
        <v>979</v>
      </c>
    </row>
    <row r="158" spans="1:4" x14ac:dyDescent="0.25">
      <c r="A158" s="3" t="s">
        <v>330</v>
      </c>
      <c r="B158" t="s">
        <v>331</v>
      </c>
      <c r="C158">
        <v>14</v>
      </c>
      <c r="D158" t="s">
        <v>26</v>
      </c>
    </row>
    <row r="159" spans="1:4" x14ac:dyDescent="0.25">
      <c r="A159" s="3" t="s">
        <v>332</v>
      </c>
      <c r="B159" t="s">
        <v>333</v>
      </c>
      <c r="C159">
        <v>14</v>
      </c>
      <c r="D159" t="s">
        <v>26</v>
      </c>
    </row>
    <row r="160" spans="1:4" x14ac:dyDescent="0.25">
      <c r="A160" s="3" t="s">
        <v>334</v>
      </c>
      <c r="B160" t="s">
        <v>335</v>
      </c>
      <c r="C160">
        <v>14</v>
      </c>
      <c r="D160" t="s">
        <v>26</v>
      </c>
    </row>
    <row r="161" spans="1:4" x14ac:dyDescent="0.25">
      <c r="A161" s="3" t="s">
        <v>336</v>
      </c>
      <c r="B161" t="s">
        <v>337</v>
      </c>
      <c r="C161">
        <v>14</v>
      </c>
      <c r="D161" t="s">
        <v>26</v>
      </c>
    </row>
    <row r="162" spans="1:4" x14ac:dyDescent="0.25">
      <c r="A162" s="3" t="s">
        <v>338</v>
      </c>
      <c r="B162" t="s">
        <v>339</v>
      </c>
      <c r="C162">
        <v>14</v>
      </c>
      <c r="D162" t="s">
        <v>26</v>
      </c>
    </row>
    <row r="163" spans="1:4" x14ac:dyDescent="0.25">
      <c r="A163" s="3" t="s">
        <v>340</v>
      </c>
      <c r="B163" t="s">
        <v>341</v>
      </c>
      <c r="C163">
        <v>14</v>
      </c>
      <c r="D163" t="s">
        <v>26</v>
      </c>
    </row>
    <row r="164" spans="1:4" x14ac:dyDescent="0.25">
      <c r="A164" s="3" t="s">
        <v>342</v>
      </c>
      <c r="B164" t="s">
        <v>343</v>
      </c>
      <c r="C164">
        <v>14</v>
      </c>
      <c r="D164" t="s">
        <v>26</v>
      </c>
    </row>
    <row r="165" spans="1:4" x14ac:dyDescent="0.25">
      <c r="A165" s="3" t="s">
        <v>344</v>
      </c>
      <c r="B165" t="s">
        <v>345</v>
      </c>
      <c r="C165">
        <v>14</v>
      </c>
      <c r="D165" t="s">
        <v>26</v>
      </c>
    </row>
    <row r="166" spans="1:4" x14ac:dyDescent="0.25">
      <c r="A166" s="3" t="s">
        <v>346</v>
      </c>
      <c r="B166" t="s">
        <v>347</v>
      </c>
      <c r="C166">
        <v>14</v>
      </c>
      <c r="D166" t="s">
        <v>26</v>
      </c>
    </row>
    <row r="167" spans="1:4" x14ac:dyDescent="0.25">
      <c r="A167" s="3" t="s">
        <v>348</v>
      </c>
      <c r="B167" t="s">
        <v>349</v>
      </c>
      <c r="C167">
        <v>14</v>
      </c>
      <c r="D167" t="s">
        <v>26</v>
      </c>
    </row>
    <row r="168" spans="1:4" x14ac:dyDescent="0.25">
      <c r="A168" s="3" t="s">
        <v>350</v>
      </c>
      <c r="B168" t="s">
        <v>351</v>
      </c>
      <c r="C168">
        <v>14</v>
      </c>
      <c r="D168" t="s">
        <v>26</v>
      </c>
    </row>
    <row r="169" spans="1:4" x14ac:dyDescent="0.25">
      <c r="A169" s="3" t="s">
        <v>352</v>
      </c>
      <c r="B169" t="s">
        <v>353</v>
      </c>
      <c r="C169">
        <v>14</v>
      </c>
      <c r="D169" t="s">
        <v>26</v>
      </c>
    </row>
    <row r="170" spans="1:4" x14ac:dyDescent="0.25">
      <c r="A170" s="3" t="s">
        <v>354</v>
      </c>
      <c r="B170" t="s">
        <v>355</v>
      </c>
      <c r="C170">
        <v>14</v>
      </c>
      <c r="D170" t="s">
        <v>26</v>
      </c>
    </row>
    <row r="171" spans="1:4" x14ac:dyDescent="0.25">
      <c r="A171" s="3" t="s">
        <v>356</v>
      </c>
      <c r="B171" t="s">
        <v>357</v>
      </c>
      <c r="C171">
        <v>14</v>
      </c>
      <c r="D171" t="s">
        <v>26</v>
      </c>
    </row>
    <row r="172" spans="1:4" x14ac:dyDescent="0.25">
      <c r="A172" s="3" t="s">
        <v>358</v>
      </c>
      <c r="B172" t="s">
        <v>359</v>
      </c>
      <c r="C172">
        <v>14</v>
      </c>
      <c r="D172" t="s">
        <v>26</v>
      </c>
    </row>
    <row r="173" spans="1:4" x14ac:dyDescent="0.25">
      <c r="A173" s="3" t="s">
        <v>360</v>
      </c>
      <c r="B173" t="s">
        <v>361</v>
      </c>
      <c r="C173">
        <v>14</v>
      </c>
      <c r="D173" t="s">
        <v>26</v>
      </c>
    </row>
    <row r="174" spans="1:4" x14ac:dyDescent="0.25">
      <c r="A174" s="3" t="s">
        <v>362</v>
      </c>
      <c r="B174" t="s">
        <v>363</v>
      </c>
      <c r="C174">
        <v>14</v>
      </c>
      <c r="D174" t="s">
        <v>26</v>
      </c>
    </row>
    <row r="175" spans="1:4" x14ac:dyDescent="0.25">
      <c r="A175" s="3" t="s">
        <v>364</v>
      </c>
      <c r="B175" t="s">
        <v>365</v>
      </c>
      <c r="C175" t="s">
        <v>978</v>
      </c>
      <c r="D175" t="s">
        <v>979</v>
      </c>
    </row>
    <row r="176" spans="1:4" x14ac:dyDescent="0.25">
      <c r="A176" s="3" t="s">
        <v>366</v>
      </c>
      <c r="B176" t="s">
        <v>331</v>
      </c>
      <c r="C176">
        <v>14</v>
      </c>
      <c r="D176" t="s">
        <v>26</v>
      </c>
    </row>
    <row r="177" spans="1:4" x14ac:dyDescent="0.25">
      <c r="A177" s="3" t="s">
        <v>367</v>
      </c>
      <c r="B177" t="s">
        <v>333</v>
      </c>
      <c r="C177">
        <v>14</v>
      </c>
      <c r="D177" t="s">
        <v>26</v>
      </c>
    </row>
    <row r="178" spans="1:4" x14ac:dyDescent="0.25">
      <c r="A178" s="3" t="s">
        <v>368</v>
      </c>
      <c r="B178" t="s">
        <v>335</v>
      </c>
      <c r="C178">
        <v>14</v>
      </c>
      <c r="D178" t="s">
        <v>26</v>
      </c>
    </row>
    <row r="179" spans="1:4" x14ac:dyDescent="0.25">
      <c r="A179" s="3" t="s">
        <v>369</v>
      </c>
      <c r="B179" t="s">
        <v>337</v>
      </c>
      <c r="C179">
        <v>14</v>
      </c>
      <c r="D179" t="s">
        <v>26</v>
      </c>
    </row>
    <row r="180" spans="1:4" x14ac:dyDescent="0.25">
      <c r="A180" s="3" t="s">
        <v>370</v>
      </c>
      <c r="B180" t="s">
        <v>339</v>
      </c>
      <c r="C180">
        <v>14</v>
      </c>
      <c r="D180" t="s">
        <v>26</v>
      </c>
    </row>
    <row r="181" spans="1:4" x14ac:dyDescent="0.25">
      <c r="A181" s="3" t="s">
        <v>371</v>
      </c>
      <c r="B181" t="s">
        <v>341</v>
      </c>
      <c r="C181">
        <v>14</v>
      </c>
      <c r="D181" t="s">
        <v>26</v>
      </c>
    </row>
    <row r="182" spans="1:4" x14ac:dyDescent="0.25">
      <c r="A182" s="3" t="s">
        <v>372</v>
      </c>
      <c r="B182" t="s">
        <v>343</v>
      </c>
      <c r="C182">
        <v>14</v>
      </c>
      <c r="D182" t="s">
        <v>26</v>
      </c>
    </row>
    <row r="183" spans="1:4" x14ac:dyDescent="0.25">
      <c r="A183" s="3" t="s">
        <v>373</v>
      </c>
      <c r="B183" t="s">
        <v>345</v>
      </c>
      <c r="C183">
        <v>14</v>
      </c>
      <c r="D183" t="s">
        <v>26</v>
      </c>
    </row>
    <row r="184" spans="1:4" x14ac:dyDescent="0.25">
      <c r="A184" s="3" t="s">
        <v>374</v>
      </c>
      <c r="B184" t="s">
        <v>347</v>
      </c>
      <c r="C184">
        <v>14</v>
      </c>
      <c r="D184" t="s">
        <v>26</v>
      </c>
    </row>
    <row r="185" spans="1:4" x14ac:dyDescent="0.25">
      <c r="A185" s="3" t="s">
        <v>375</v>
      </c>
      <c r="B185" t="s">
        <v>349</v>
      </c>
      <c r="C185">
        <v>14</v>
      </c>
      <c r="D185" t="s">
        <v>26</v>
      </c>
    </row>
    <row r="186" spans="1:4" x14ac:dyDescent="0.25">
      <c r="A186" s="3" t="s">
        <v>376</v>
      </c>
      <c r="B186" t="s">
        <v>351</v>
      </c>
      <c r="C186">
        <v>14</v>
      </c>
      <c r="D186" t="s">
        <v>26</v>
      </c>
    </row>
    <row r="187" spans="1:4" x14ac:dyDescent="0.25">
      <c r="A187" s="3" t="s">
        <v>377</v>
      </c>
      <c r="B187" t="s">
        <v>353</v>
      </c>
      <c r="C187">
        <v>14</v>
      </c>
      <c r="D187" t="s">
        <v>26</v>
      </c>
    </row>
    <row r="188" spans="1:4" x14ac:dyDescent="0.25">
      <c r="A188" s="3" t="s">
        <v>378</v>
      </c>
      <c r="B188" t="s">
        <v>355</v>
      </c>
      <c r="C188">
        <v>14</v>
      </c>
      <c r="D188" t="s">
        <v>26</v>
      </c>
    </row>
    <row r="189" spans="1:4" x14ac:dyDescent="0.25">
      <c r="A189" s="3" t="s">
        <v>379</v>
      </c>
      <c r="B189" t="s">
        <v>357</v>
      </c>
      <c r="C189">
        <v>14</v>
      </c>
      <c r="D189" t="s">
        <v>26</v>
      </c>
    </row>
    <row r="190" spans="1:4" x14ac:dyDescent="0.25">
      <c r="A190" s="3" t="s">
        <v>380</v>
      </c>
      <c r="B190" t="s">
        <v>381</v>
      </c>
      <c r="C190" t="s">
        <v>978</v>
      </c>
      <c r="D190" t="s">
        <v>979</v>
      </c>
    </row>
    <row r="191" spans="1:4" x14ac:dyDescent="0.25">
      <c r="A191" s="3" t="s">
        <v>382</v>
      </c>
      <c r="B191" t="s">
        <v>383</v>
      </c>
      <c r="C191" t="s">
        <v>978</v>
      </c>
      <c r="D191" t="s">
        <v>979</v>
      </c>
    </row>
    <row r="192" spans="1:4" x14ac:dyDescent="0.25">
      <c r="A192" s="3" t="s">
        <v>384</v>
      </c>
      <c r="B192" t="s">
        <v>385</v>
      </c>
      <c r="C192">
        <v>15</v>
      </c>
      <c r="D192" t="s">
        <v>28</v>
      </c>
    </row>
    <row r="193" spans="1:4" x14ac:dyDescent="0.25">
      <c r="A193" s="3" t="s">
        <v>386</v>
      </c>
      <c r="B193" t="s">
        <v>387</v>
      </c>
      <c r="C193">
        <v>15</v>
      </c>
      <c r="D193" t="s">
        <v>28</v>
      </c>
    </row>
    <row r="194" spans="1:4" x14ac:dyDescent="0.25">
      <c r="A194" s="3" t="s">
        <v>388</v>
      </c>
      <c r="B194" t="s">
        <v>389</v>
      </c>
      <c r="C194">
        <v>15</v>
      </c>
      <c r="D194" t="s">
        <v>28</v>
      </c>
    </row>
    <row r="195" spans="1:4" x14ac:dyDescent="0.25">
      <c r="A195" s="3" t="s">
        <v>390</v>
      </c>
      <c r="B195" t="s">
        <v>391</v>
      </c>
      <c r="C195" t="s">
        <v>978</v>
      </c>
      <c r="D195" t="s">
        <v>979</v>
      </c>
    </row>
    <row r="196" spans="1:4" x14ac:dyDescent="0.25">
      <c r="A196" s="3" t="s">
        <v>392</v>
      </c>
      <c r="B196" t="s">
        <v>393</v>
      </c>
      <c r="C196">
        <v>15</v>
      </c>
      <c r="D196" t="s">
        <v>28</v>
      </c>
    </row>
    <row r="197" spans="1:4" x14ac:dyDescent="0.25">
      <c r="A197" s="3" t="s">
        <v>394</v>
      </c>
      <c r="B197" t="s">
        <v>395</v>
      </c>
      <c r="C197">
        <v>15</v>
      </c>
      <c r="D197" t="s">
        <v>28</v>
      </c>
    </row>
    <row r="198" spans="1:4" x14ac:dyDescent="0.25">
      <c r="A198" s="3" t="s">
        <v>396</v>
      </c>
      <c r="B198" t="s">
        <v>397</v>
      </c>
      <c r="C198">
        <v>15</v>
      </c>
      <c r="D198" t="s">
        <v>28</v>
      </c>
    </row>
    <row r="199" spans="1:4" x14ac:dyDescent="0.25">
      <c r="A199" s="3" t="s">
        <v>398</v>
      </c>
      <c r="B199" t="s">
        <v>399</v>
      </c>
      <c r="C199">
        <v>15</v>
      </c>
      <c r="D199" t="s">
        <v>28</v>
      </c>
    </row>
    <row r="200" spans="1:4" x14ac:dyDescent="0.25">
      <c r="A200" s="3" t="s">
        <v>400</v>
      </c>
      <c r="B200" t="s">
        <v>401</v>
      </c>
      <c r="C200" t="s">
        <v>978</v>
      </c>
      <c r="D200" t="s">
        <v>979</v>
      </c>
    </row>
    <row r="201" spans="1:4" x14ac:dyDescent="0.25">
      <c r="A201" s="3" t="s">
        <v>402</v>
      </c>
      <c r="B201" t="s">
        <v>403</v>
      </c>
      <c r="C201">
        <v>15</v>
      </c>
      <c r="D201" t="s">
        <v>28</v>
      </c>
    </row>
    <row r="202" spans="1:4" x14ac:dyDescent="0.25">
      <c r="A202" s="3" t="s">
        <v>404</v>
      </c>
      <c r="B202" t="s">
        <v>405</v>
      </c>
      <c r="C202" t="s">
        <v>978</v>
      </c>
      <c r="D202" t="s">
        <v>979</v>
      </c>
    </row>
    <row r="203" spans="1:4" x14ac:dyDescent="0.25">
      <c r="A203" s="3" t="s">
        <v>406</v>
      </c>
      <c r="B203" t="s">
        <v>407</v>
      </c>
      <c r="C203">
        <v>15</v>
      </c>
      <c r="D203" t="s">
        <v>28</v>
      </c>
    </row>
    <row r="204" spans="1:4" x14ac:dyDescent="0.25">
      <c r="A204" s="3" t="s">
        <v>408</v>
      </c>
      <c r="B204" t="s">
        <v>409</v>
      </c>
      <c r="C204" t="s">
        <v>978</v>
      </c>
      <c r="D204" t="s">
        <v>979</v>
      </c>
    </row>
    <row r="205" spans="1:4" x14ac:dyDescent="0.25">
      <c r="A205" s="3" t="s">
        <v>410</v>
      </c>
      <c r="B205" t="s">
        <v>411</v>
      </c>
      <c r="C205">
        <v>15</v>
      </c>
      <c r="D205" t="s">
        <v>28</v>
      </c>
    </row>
    <row r="206" spans="1:4" x14ac:dyDescent="0.25">
      <c r="A206" s="3" t="s">
        <v>412</v>
      </c>
      <c r="B206" t="s">
        <v>413</v>
      </c>
      <c r="C206">
        <v>15</v>
      </c>
      <c r="D206" t="s">
        <v>28</v>
      </c>
    </row>
    <row r="207" spans="1:4" x14ac:dyDescent="0.25">
      <c r="A207" s="3" t="s">
        <v>414</v>
      </c>
      <c r="B207" t="s">
        <v>415</v>
      </c>
      <c r="C207">
        <v>15</v>
      </c>
      <c r="D207" t="s">
        <v>28</v>
      </c>
    </row>
    <row r="208" spans="1:4" x14ac:dyDescent="0.25">
      <c r="A208" s="3" t="s">
        <v>416</v>
      </c>
      <c r="B208" t="s">
        <v>417</v>
      </c>
      <c r="C208">
        <v>15</v>
      </c>
      <c r="D208" t="s">
        <v>28</v>
      </c>
    </row>
    <row r="209" spans="1:4" x14ac:dyDescent="0.25">
      <c r="A209" s="3" t="s">
        <v>418</v>
      </c>
      <c r="B209" t="s">
        <v>419</v>
      </c>
      <c r="C209" t="s">
        <v>978</v>
      </c>
      <c r="D209" t="s">
        <v>979</v>
      </c>
    </row>
    <row r="210" spans="1:4" x14ac:dyDescent="0.25">
      <c r="A210" s="3" t="s">
        <v>1015</v>
      </c>
      <c r="B210" t="s">
        <v>1016</v>
      </c>
      <c r="C210">
        <v>15</v>
      </c>
      <c r="D210" t="s">
        <v>28</v>
      </c>
    </row>
    <row r="211" spans="1:4" x14ac:dyDescent="0.25">
      <c r="A211" s="3" t="s">
        <v>420</v>
      </c>
      <c r="B211" t="s">
        <v>421</v>
      </c>
      <c r="C211">
        <v>15</v>
      </c>
      <c r="D211" t="s">
        <v>28</v>
      </c>
    </row>
    <row r="212" spans="1:4" x14ac:dyDescent="0.25">
      <c r="A212" s="3" t="s">
        <v>422</v>
      </c>
      <c r="B212" t="s">
        <v>423</v>
      </c>
      <c r="C212">
        <v>15</v>
      </c>
      <c r="D212" t="s">
        <v>28</v>
      </c>
    </row>
    <row r="213" spans="1:4" x14ac:dyDescent="0.25">
      <c r="A213" s="3" t="s">
        <v>424</v>
      </c>
      <c r="B213" t="s">
        <v>425</v>
      </c>
      <c r="C213">
        <v>15</v>
      </c>
      <c r="D213" t="s">
        <v>28</v>
      </c>
    </row>
    <row r="214" spans="1:4" x14ac:dyDescent="0.25">
      <c r="A214" s="3" t="s">
        <v>426</v>
      </c>
      <c r="B214" t="s">
        <v>427</v>
      </c>
      <c r="C214" t="s">
        <v>978</v>
      </c>
      <c r="D214" t="s">
        <v>979</v>
      </c>
    </row>
    <row r="215" spans="1:4" x14ac:dyDescent="0.25">
      <c r="A215" s="3" t="s">
        <v>428</v>
      </c>
      <c r="B215" t="s">
        <v>429</v>
      </c>
      <c r="C215">
        <v>15</v>
      </c>
      <c r="D215" t="s">
        <v>28</v>
      </c>
    </row>
    <row r="216" spans="1:4" x14ac:dyDescent="0.25">
      <c r="A216" s="3" t="s">
        <v>430</v>
      </c>
      <c r="B216" t="s">
        <v>431</v>
      </c>
      <c r="C216">
        <v>15</v>
      </c>
      <c r="D216" t="s">
        <v>28</v>
      </c>
    </row>
    <row r="217" spans="1:4" x14ac:dyDescent="0.25">
      <c r="A217" s="3" t="s">
        <v>432</v>
      </c>
      <c r="B217" t="s">
        <v>433</v>
      </c>
      <c r="C217">
        <v>15</v>
      </c>
      <c r="D217" t="s">
        <v>28</v>
      </c>
    </row>
    <row r="218" spans="1:4" x14ac:dyDescent="0.25">
      <c r="A218" s="3" t="s">
        <v>434</v>
      </c>
      <c r="B218" t="s">
        <v>435</v>
      </c>
      <c r="C218">
        <v>15</v>
      </c>
      <c r="D218" t="s">
        <v>28</v>
      </c>
    </row>
    <row r="219" spans="1:4" x14ac:dyDescent="0.25">
      <c r="A219" s="3" t="s">
        <v>436</v>
      </c>
      <c r="B219" t="s">
        <v>437</v>
      </c>
      <c r="C219">
        <v>15</v>
      </c>
      <c r="D219" t="s">
        <v>28</v>
      </c>
    </row>
    <row r="220" spans="1:4" x14ac:dyDescent="0.25">
      <c r="A220" s="3" t="s">
        <v>438</v>
      </c>
      <c r="B220" t="s">
        <v>439</v>
      </c>
      <c r="C220">
        <v>15</v>
      </c>
      <c r="D220" t="s">
        <v>28</v>
      </c>
    </row>
    <row r="221" spans="1:4" x14ac:dyDescent="0.25">
      <c r="A221" s="3" t="s">
        <v>440</v>
      </c>
      <c r="B221" t="s">
        <v>441</v>
      </c>
      <c r="C221">
        <v>15</v>
      </c>
      <c r="D221" t="s">
        <v>28</v>
      </c>
    </row>
    <row r="222" spans="1:4" x14ac:dyDescent="0.25">
      <c r="A222" s="18" t="s">
        <v>1104</v>
      </c>
      <c r="B222" s="18" t="s">
        <v>1105</v>
      </c>
      <c r="C222">
        <v>15</v>
      </c>
      <c r="D222" t="s">
        <v>28</v>
      </c>
    </row>
    <row r="223" spans="1:4" x14ac:dyDescent="0.25">
      <c r="A223" t="s">
        <v>1231</v>
      </c>
      <c r="B223" t="s">
        <v>1232</v>
      </c>
      <c r="C223">
        <v>15</v>
      </c>
      <c r="D223" t="s">
        <v>28</v>
      </c>
    </row>
    <row r="224" spans="1:4" x14ac:dyDescent="0.25">
      <c r="A224" s="3" t="s">
        <v>442</v>
      </c>
      <c r="B224" t="s">
        <v>443</v>
      </c>
      <c r="C224" t="s">
        <v>978</v>
      </c>
      <c r="D224" t="s">
        <v>979</v>
      </c>
    </row>
    <row r="225" spans="1:4" x14ac:dyDescent="0.25">
      <c r="A225" s="3" t="s">
        <v>444</v>
      </c>
      <c r="B225" t="s">
        <v>445</v>
      </c>
      <c r="C225">
        <v>15</v>
      </c>
      <c r="D225" t="s">
        <v>28</v>
      </c>
    </row>
    <row r="226" spans="1:4" x14ac:dyDescent="0.25">
      <c r="A226" s="3" t="s">
        <v>446</v>
      </c>
      <c r="B226" t="s">
        <v>447</v>
      </c>
      <c r="C226">
        <v>15</v>
      </c>
      <c r="D226" t="s">
        <v>28</v>
      </c>
    </row>
    <row r="227" spans="1:4" x14ac:dyDescent="0.25">
      <c r="A227" s="3" t="s">
        <v>448</v>
      </c>
      <c r="B227" t="s">
        <v>449</v>
      </c>
      <c r="C227">
        <v>15</v>
      </c>
      <c r="D227" t="s">
        <v>28</v>
      </c>
    </row>
    <row r="228" spans="1:4" x14ac:dyDescent="0.25">
      <c r="A228" s="3" t="s">
        <v>450</v>
      </c>
      <c r="B228" t="s">
        <v>451</v>
      </c>
      <c r="C228">
        <v>15</v>
      </c>
      <c r="D228" t="s">
        <v>28</v>
      </c>
    </row>
    <row r="229" spans="1:4" x14ac:dyDescent="0.25">
      <c r="A229" s="3" t="s">
        <v>452</v>
      </c>
      <c r="B229" t="s">
        <v>453</v>
      </c>
      <c r="C229">
        <v>15</v>
      </c>
      <c r="D229" t="s">
        <v>28</v>
      </c>
    </row>
    <row r="230" spans="1:4" x14ac:dyDescent="0.25">
      <c r="A230" s="3" t="s">
        <v>454</v>
      </c>
      <c r="B230" t="s">
        <v>455</v>
      </c>
      <c r="C230">
        <v>15</v>
      </c>
      <c r="D230" t="s">
        <v>28</v>
      </c>
    </row>
    <row r="231" spans="1:4" x14ac:dyDescent="0.25">
      <c r="A231" s="3" t="s">
        <v>1035</v>
      </c>
      <c r="B231" t="s">
        <v>1042</v>
      </c>
      <c r="C231">
        <v>15</v>
      </c>
      <c r="D231" t="s">
        <v>28</v>
      </c>
    </row>
    <row r="232" spans="1:4" x14ac:dyDescent="0.25">
      <c r="A232" t="s">
        <v>1194</v>
      </c>
      <c r="B232" t="s">
        <v>1195</v>
      </c>
      <c r="C232">
        <v>15</v>
      </c>
      <c r="D232" t="s">
        <v>28</v>
      </c>
    </row>
    <row r="233" spans="1:4" x14ac:dyDescent="0.25">
      <c r="A233" s="3" t="s">
        <v>456</v>
      </c>
      <c r="B233" t="s">
        <v>457</v>
      </c>
      <c r="C233">
        <v>15</v>
      </c>
      <c r="D233" t="s">
        <v>28</v>
      </c>
    </row>
    <row r="234" spans="1:4" x14ac:dyDescent="0.25">
      <c r="A234" s="3" t="s">
        <v>458</v>
      </c>
      <c r="B234" t="s">
        <v>459</v>
      </c>
      <c r="C234" t="s">
        <v>978</v>
      </c>
      <c r="D234" t="s">
        <v>979</v>
      </c>
    </row>
    <row r="235" spans="1:4" x14ac:dyDescent="0.25">
      <c r="A235" s="3" t="s">
        <v>460</v>
      </c>
      <c r="B235" t="s">
        <v>461</v>
      </c>
      <c r="C235" t="s">
        <v>978</v>
      </c>
      <c r="D235" t="s">
        <v>979</v>
      </c>
    </row>
    <row r="236" spans="1:4" x14ac:dyDescent="0.25">
      <c r="A236" s="3" t="s">
        <v>462</v>
      </c>
      <c r="B236" t="s">
        <v>463</v>
      </c>
      <c r="C236" t="s">
        <v>978</v>
      </c>
      <c r="D236" t="s">
        <v>979</v>
      </c>
    </row>
    <row r="237" spans="1:4" x14ac:dyDescent="0.25">
      <c r="A237" s="3" t="s">
        <v>464</v>
      </c>
      <c r="B237" t="s">
        <v>465</v>
      </c>
      <c r="C237" t="s">
        <v>978</v>
      </c>
      <c r="D237" t="s">
        <v>979</v>
      </c>
    </row>
    <row r="238" spans="1:4" x14ac:dyDescent="0.25">
      <c r="A238" s="3" t="s">
        <v>466</v>
      </c>
      <c r="B238" t="s">
        <v>467</v>
      </c>
      <c r="C238">
        <v>2</v>
      </c>
      <c r="D238" t="s">
        <v>71</v>
      </c>
    </row>
    <row r="239" spans="1:4" x14ac:dyDescent="0.25">
      <c r="A239" s="3" t="s">
        <v>468</v>
      </c>
      <c r="B239" t="s">
        <v>469</v>
      </c>
      <c r="C239">
        <v>2</v>
      </c>
      <c r="D239" t="s">
        <v>71</v>
      </c>
    </row>
    <row r="240" spans="1:4" x14ac:dyDescent="0.25">
      <c r="A240" s="3" t="s">
        <v>470</v>
      </c>
      <c r="B240" t="s">
        <v>471</v>
      </c>
      <c r="C240">
        <v>2</v>
      </c>
      <c r="D240" t="s">
        <v>71</v>
      </c>
    </row>
    <row r="241" spans="1:4" x14ac:dyDescent="0.25">
      <c r="A241" s="3" t="s">
        <v>472</v>
      </c>
      <c r="B241" t="s">
        <v>473</v>
      </c>
      <c r="C241">
        <v>2</v>
      </c>
      <c r="D241" t="s">
        <v>71</v>
      </c>
    </row>
    <row r="242" spans="1:4" x14ac:dyDescent="0.25">
      <c r="A242" s="3" t="s">
        <v>474</v>
      </c>
      <c r="B242" t="s">
        <v>475</v>
      </c>
      <c r="C242">
        <v>2</v>
      </c>
      <c r="D242" t="s">
        <v>71</v>
      </c>
    </row>
    <row r="243" spans="1:4" x14ac:dyDescent="0.25">
      <c r="A243" s="3" t="s">
        <v>1027</v>
      </c>
      <c r="B243" t="s">
        <v>1028</v>
      </c>
      <c r="C243">
        <v>9</v>
      </c>
      <c r="D243" t="s">
        <v>52</v>
      </c>
    </row>
    <row r="244" spans="1:4" x14ac:dyDescent="0.25">
      <c r="A244" s="3" t="s">
        <v>1029</v>
      </c>
      <c r="B244" t="s">
        <v>1028</v>
      </c>
      <c r="C244">
        <v>9</v>
      </c>
      <c r="D244" t="s">
        <v>52</v>
      </c>
    </row>
    <row r="245" spans="1:4" x14ac:dyDescent="0.25">
      <c r="A245" s="3" t="s">
        <v>476</v>
      </c>
      <c r="B245" t="s">
        <v>477</v>
      </c>
      <c r="C245" t="s">
        <v>978</v>
      </c>
      <c r="D245" t="s">
        <v>979</v>
      </c>
    </row>
    <row r="246" spans="1:4" x14ac:dyDescent="0.25">
      <c r="A246" s="3" t="s">
        <v>478</v>
      </c>
      <c r="B246" t="s">
        <v>479</v>
      </c>
      <c r="C246" t="s">
        <v>978</v>
      </c>
      <c r="D246" t="s">
        <v>979</v>
      </c>
    </row>
    <row r="247" spans="1:4" x14ac:dyDescent="0.25">
      <c r="A247" s="3" t="s">
        <v>480</v>
      </c>
      <c r="B247" t="s">
        <v>481</v>
      </c>
      <c r="C247">
        <v>1</v>
      </c>
      <c r="D247" t="s">
        <v>38</v>
      </c>
    </row>
    <row r="248" spans="1:4" x14ac:dyDescent="0.25">
      <c r="A248" t="s">
        <v>1184</v>
      </c>
      <c r="B248" t="s">
        <v>1185</v>
      </c>
      <c r="C248">
        <v>1</v>
      </c>
      <c r="D248" t="s">
        <v>1193</v>
      </c>
    </row>
    <row r="249" spans="1:4" x14ac:dyDescent="0.25">
      <c r="A249" t="s">
        <v>1215</v>
      </c>
      <c r="B249" t="s">
        <v>1216</v>
      </c>
      <c r="C249">
        <v>1</v>
      </c>
      <c r="D249" t="s">
        <v>38</v>
      </c>
    </row>
    <row r="250" spans="1:4" x14ac:dyDescent="0.25">
      <c r="A250" s="3" t="s">
        <v>482</v>
      </c>
      <c r="B250" t="s">
        <v>483</v>
      </c>
      <c r="C250">
        <v>1</v>
      </c>
      <c r="D250" t="s">
        <v>38</v>
      </c>
    </row>
    <row r="251" spans="1:4" x14ac:dyDescent="0.25">
      <c r="A251" s="3" t="s">
        <v>484</v>
      </c>
      <c r="B251" t="s">
        <v>485</v>
      </c>
      <c r="C251" t="s">
        <v>978</v>
      </c>
      <c r="D251" t="s">
        <v>979</v>
      </c>
    </row>
    <row r="252" spans="1:4" x14ac:dyDescent="0.25">
      <c r="A252" s="3" t="s">
        <v>486</v>
      </c>
      <c r="B252" t="s">
        <v>487</v>
      </c>
      <c r="C252">
        <v>4</v>
      </c>
      <c r="D252" t="s">
        <v>46</v>
      </c>
    </row>
    <row r="253" spans="1:4" x14ac:dyDescent="0.25">
      <c r="A253" s="3" t="s">
        <v>1078</v>
      </c>
      <c r="B253" t="s">
        <v>1079</v>
      </c>
      <c r="C253">
        <v>4</v>
      </c>
      <c r="D253" t="s">
        <v>46</v>
      </c>
    </row>
    <row r="254" spans="1:4" x14ac:dyDescent="0.25">
      <c r="A254" s="3" t="s">
        <v>488</v>
      </c>
      <c r="B254" t="s">
        <v>489</v>
      </c>
      <c r="C254">
        <v>4</v>
      </c>
      <c r="D254" t="s">
        <v>46</v>
      </c>
    </row>
    <row r="255" spans="1:4" x14ac:dyDescent="0.25">
      <c r="A255" s="3" t="s">
        <v>490</v>
      </c>
      <c r="B255" t="s">
        <v>491</v>
      </c>
      <c r="C255">
        <v>4</v>
      </c>
      <c r="D255" t="s">
        <v>46</v>
      </c>
    </row>
    <row r="256" spans="1:4" x14ac:dyDescent="0.25">
      <c r="A256" s="3" t="s">
        <v>492</v>
      </c>
      <c r="B256" t="s">
        <v>493</v>
      </c>
      <c r="C256">
        <v>4</v>
      </c>
      <c r="D256" t="s">
        <v>46</v>
      </c>
    </row>
    <row r="257" spans="1:4" x14ac:dyDescent="0.25">
      <c r="A257" s="3" t="s">
        <v>1080</v>
      </c>
      <c r="B257" t="s">
        <v>1081</v>
      </c>
      <c r="C257">
        <v>4</v>
      </c>
      <c r="D257" t="s">
        <v>46</v>
      </c>
    </row>
    <row r="258" spans="1:4" x14ac:dyDescent="0.25">
      <c r="A258" s="3" t="s">
        <v>494</v>
      </c>
      <c r="B258" t="s">
        <v>495</v>
      </c>
      <c r="C258">
        <v>4</v>
      </c>
      <c r="D258" t="s">
        <v>46</v>
      </c>
    </row>
    <row r="259" spans="1:4" x14ac:dyDescent="0.25">
      <c r="A259" s="3" t="s">
        <v>496</v>
      </c>
      <c r="B259" t="s">
        <v>497</v>
      </c>
      <c r="C259">
        <v>4</v>
      </c>
      <c r="D259" t="s">
        <v>46</v>
      </c>
    </row>
    <row r="260" spans="1:4" x14ac:dyDescent="0.25">
      <c r="A260" s="3" t="s">
        <v>1091</v>
      </c>
      <c r="B260" t="s">
        <v>1092</v>
      </c>
      <c r="C260">
        <v>4</v>
      </c>
      <c r="D260" t="s">
        <v>46</v>
      </c>
    </row>
    <row r="261" spans="1:4" x14ac:dyDescent="0.25">
      <c r="A261" t="s">
        <v>1146</v>
      </c>
      <c r="B261" t="s">
        <v>1147</v>
      </c>
      <c r="C261">
        <v>4</v>
      </c>
      <c r="D261" t="s">
        <v>46</v>
      </c>
    </row>
    <row r="262" spans="1:4" x14ac:dyDescent="0.25">
      <c r="A262" s="3" t="s">
        <v>498</v>
      </c>
      <c r="B262" t="s">
        <v>499</v>
      </c>
      <c r="C262" t="s">
        <v>978</v>
      </c>
      <c r="D262" t="s">
        <v>979</v>
      </c>
    </row>
    <row r="263" spans="1:4" x14ac:dyDescent="0.25">
      <c r="A263" s="3" t="s">
        <v>500</v>
      </c>
      <c r="B263" t="s">
        <v>501</v>
      </c>
      <c r="C263">
        <v>3</v>
      </c>
      <c r="D263" t="s">
        <v>43</v>
      </c>
    </row>
    <row r="264" spans="1:4" x14ac:dyDescent="0.25">
      <c r="A264" s="3" t="s">
        <v>502</v>
      </c>
      <c r="B264" t="s">
        <v>503</v>
      </c>
      <c r="C264">
        <v>3</v>
      </c>
      <c r="D264" t="s">
        <v>43</v>
      </c>
    </row>
    <row r="265" spans="1:4" x14ac:dyDescent="0.25">
      <c r="A265" s="3" t="s">
        <v>504</v>
      </c>
      <c r="B265" t="s">
        <v>505</v>
      </c>
      <c r="C265">
        <v>3</v>
      </c>
      <c r="D265" t="s">
        <v>43</v>
      </c>
    </row>
    <row r="266" spans="1:4" x14ac:dyDescent="0.25">
      <c r="A266" s="3" t="s">
        <v>506</v>
      </c>
      <c r="B266" t="s">
        <v>507</v>
      </c>
      <c r="C266">
        <v>3</v>
      </c>
      <c r="D266" t="s">
        <v>43</v>
      </c>
    </row>
    <row r="267" spans="1:4" x14ac:dyDescent="0.25">
      <c r="A267" s="3" t="s">
        <v>508</v>
      </c>
      <c r="B267" t="s">
        <v>509</v>
      </c>
      <c r="C267">
        <v>3</v>
      </c>
      <c r="D267" t="s">
        <v>43</v>
      </c>
    </row>
    <row r="268" spans="1:4" x14ac:dyDescent="0.25">
      <c r="A268" s="3" t="s">
        <v>510</v>
      </c>
      <c r="B268" t="s">
        <v>511</v>
      </c>
      <c r="C268">
        <v>3</v>
      </c>
      <c r="D268" t="s">
        <v>43</v>
      </c>
    </row>
    <row r="269" spans="1:4" x14ac:dyDescent="0.25">
      <c r="A269" s="3" t="s">
        <v>512</v>
      </c>
      <c r="B269" t="s">
        <v>513</v>
      </c>
      <c r="C269">
        <v>3</v>
      </c>
      <c r="D269" t="s">
        <v>43</v>
      </c>
    </row>
    <row r="270" spans="1:4" x14ac:dyDescent="0.25">
      <c r="A270" s="3" t="s">
        <v>1045</v>
      </c>
      <c r="B270" t="s">
        <v>1046</v>
      </c>
      <c r="C270">
        <v>3</v>
      </c>
      <c r="D270" t="s">
        <v>43</v>
      </c>
    </row>
    <row r="271" spans="1:4" x14ac:dyDescent="0.25">
      <c r="A271" s="3" t="s">
        <v>514</v>
      </c>
      <c r="B271" t="s">
        <v>515</v>
      </c>
      <c r="C271">
        <v>3</v>
      </c>
      <c r="D271" t="s">
        <v>43</v>
      </c>
    </row>
    <row r="272" spans="1:4" x14ac:dyDescent="0.25">
      <c r="A272" s="3" t="s">
        <v>516</v>
      </c>
      <c r="B272" t="s">
        <v>517</v>
      </c>
      <c r="C272">
        <v>3</v>
      </c>
      <c r="D272" t="s">
        <v>43</v>
      </c>
    </row>
    <row r="273" spans="1:4" x14ac:dyDescent="0.25">
      <c r="A273" s="3" t="s">
        <v>518</v>
      </c>
      <c r="B273" t="s">
        <v>519</v>
      </c>
      <c r="C273">
        <v>3</v>
      </c>
      <c r="D273" t="s">
        <v>43</v>
      </c>
    </row>
    <row r="274" spans="1:4" x14ac:dyDescent="0.25">
      <c r="A274" s="3" t="s">
        <v>520</v>
      </c>
      <c r="B274" t="s">
        <v>521</v>
      </c>
      <c r="C274">
        <v>3</v>
      </c>
      <c r="D274" t="s">
        <v>43</v>
      </c>
    </row>
    <row r="275" spans="1:4" x14ac:dyDescent="0.25">
      <c r="A275" s="14" t="s">
        <v>1036</v>
      </c>
      <c r="B275" s="14" t="s">
        <v>1037</v>
      </c>
      <c r="C275">
        <v>3</v>
      </c>
      <c r="D275" t="s">
        <v>43</v>
      </c>
    </row>
    <row r="276" spans="1:4" x14ac:dyDescent="0.25">
      <c r="A276" s="3" t="s">
        <v>522</v>
      </c>
      <c r="B276" t="s">
        <v>523</v>
      </c>
      <c r="C276" t="s">
        <v>978</v>
      </c>
      <c r="D276" t="s">
        <v>979</v>
      </c>
    </row>
    <row r="277" spans="1:4" x14ac:dyDescent="0.25">
      <c r="A277" s="3" t="s">
        <v>524</v>
      </c>
      <c r="B277" t="s">
        <v>525</v>
      </c>
      <c r="C277">
        <v>3</v>
      </c>
      <c r="D277" t="s">
        <v>44</v>
      </c>
    </row>
    <row r="278" spans="1:4" x14ac:dyDescent="0.25">
      <c r="A278" s="3" t="s">
        <v>526</v>
      </c>
      <c r="B278" t="s">
        <v>527</v>
      </c>
      <c r="C278">
        <v>3</v>
      </c>
      <c r="D278" t="s">
        <v>44</v>
      </c>
    </row>
    <row r="279" spans="1:4" x14ac:dyDescent="0.25">
      <c r="A279" s="3" t="s">
        <v>528</v>
      </c>
      <c r="B279" t="s">
        <v>529</v>
      </c>
      <c r="C279">
        <v>3</v>
      </c>
      <c r="D279" t="s">
        <v>44</v>
      </c>
    </row>
    <row r="280" spans="1:4" x14ac:dyDescent="0.25">
      <c r="A280" s="3" t="s">
        <v>530</v>
      </c>
      <c r="B280" t="s">
        <v>531</v>
      </c>
      <c r="C280">
        <v>3</v>
      </c>
      <c r="D280" t="s">
        <v>44</v>
      </c>
    </row>
    <row r="281" spans="1:4" x14ac:dyDescent="0.25">
      <c r="A281" s="3" t="s">
        <v>532</v>
      </c>
      <c r="B281" t="s">
        <v>533</v>
      </c>
      <c r="C281">
        <v>3</v>
      </c>
      <c r="D281" t="s">
        <v>44</v>
      </c>
    </row>
    <row r="282" spans="1:4" x14ac:dyDescent="0.25">
      <c r="A282" s="3" t="s">
        <v>534</v>
      </c>
      <c r="B282" t="s">
        <v>535</v>
      </c>
      <c r="C282">
        <v>3</v>
      </c>
      <c r="D282" t="s">
        <v>44</v>
      </c>
    </row>
    <row r="283" spans="1:4" x14ac:dyDescent="0.25">
      <c r="A283" s="3" t="s">
        <v>536</v>
      </c>
      <c r="B283" t="s">
        <v>537</v>
      </c>
      <c r="C283">
        <v>3</v>
      </c>
      <c r="D283" t="s">
        <v>44</v>
      </c>
    </row>
    <row r="284" spans="1:4" x14ac:dyDescent="0.25">
      <c r="A284" s="3" t="s">
        <v>538</v>
      </c>
      <c r="B284" t="s">
        <v>539</v>
      </c>
      <c r="C284">
        <v>3</v>
      </c>
      <c r="D284" t="s">
        <v>44</v>
      </c>
    </row>
    <row r="285" spans="1:4" x14ac:dyDescent="0.25">
      <c r="A285" s="3" t="s">
        <v>540</v>
      </c>
      <c r="B285" t="s">
        <v>541</v>
      </c>
      <c r="C285">
        <v>3</v>
      </c>
      <c r="D285" t="s">
        <v>44</v>
      </c>
    </row>
    <row r="286" spans="1:4" x14ac:dyDescent="0.25">
      <c r="A286" t="s">
        <v>1148</v>
      </c>
      <c r="B286" t="s">
        <v>1149</v>
      </c>
      <c r="C286">
        <v>3</v>
      </c>
      <c r="D286" t="s">
        <v>44</v>
      </c>
    </row>
    <row r="287" spans="1:4" x14ac:dyDescent="0.25">
      <c r="A287" s="3" t="s">
        <v>542</v>
      </c>
      <c r="B287" t="s">
        <v>543</v>
      </c>
      <c r="C287" t="s">
        <v>978</v>
      </c>
      <c r="D287" t="s">
        <v>979</v>
      </c>
    </row>
    <row r="288" spans="1:4" x14ac:dyDescent="0.25">
      <c r="A288" s="3" t="s">
        <v>544</v>
      </c>
      <c r="B288" t="s">
        <v>545</v>
      </c>
      <c r="C288">
        <v>4</v>
      </c>
      <c r="D288" t="s">
        <v>47</v>
      </c>
    </row>
    <row r="289" spans="1:4" x14ac:dyDescent="0.25">
      <c r="A289" s="3" t="s">
        <v>546</v>
      </c>
      <c r="B289" t="s">
        <v>547</v>
      </c>
      <c r="C289">
        <v>4</v>
      </c>
      <c r="D289" t="s">
        <v>47</v>
      </c>
    </row>
    <row r="290" spans="1:4" x14ac:dyDescent="0.25">
      <c r="A290" s="3" t="s">
        <v>548</v>
      </c>
      <c r="B290" t="s">
        <v>549</v>
      </c>
      <c r="C290">
        <v>4</v>
      </c>
      <c r="D290" t="s">
        <v>47</v>
      </c>
    </row>
    <row r="291" spans="1:4" x14ac:dyDescent="0.25">
      <c r="A291" s="3" t="s">
        <v>550</v>
      </c>
      <c r="B291" t="s">
        <v>551</v>
      </c>
      <c r="C291">
        <v>4</v>
      </c>
      <c r="D291" t="s">
        <v>47</v>
      </c>
    </row>
    <row r="292" spans="1:4" x14ac:dyDescent="0.25">
      <c r="A292" s="3" t="s">
        <v>552</v>
      </c>
      <c r="B292" t="s">
        <v>553</v>
      </c>
      <c r="C292">
        <v>4</v>
      </c>
      <c r="D292" t="s">
        <v>47</v>
      </c>
    </row>
    <row r="293" spans="1:4" x14ac:dyDescent="0.25">
      <c r="A293" s="3" t="s">
        <v>554</v>
      </c>
      <c r="B293" t="s">
        <v>555</v>
      </c>
      <c r="C293">
        <v>4</v>
      </c>
      <c r="D293" t="s">
        <v>47</v>
      </c>
    </row>
    <row r="294" spans="1:4" x14ac:dyDescent="0.25">
      <c r="A294" s="3" t="s">
        <v>556</v>
      </c>
      <c r="B294" t="s">
        <v>557</v>
      </c>
      <c r="C294" t="s">
        <v>978</v>
      </c>
      <c r="D294" t="s">
        <v>979</v>
      </c>
    </row>
    <row r="295" spans="1:4" x14ac:dyDescent="0.25">
      <c r="A295" s="3" t="s">
        <v>558</v>
      </c>
      <c r="B295" t="s">
        <v>559</v>
      </c>
      <c r="C295">
        <v>8</v>
      </c>
      <c r="D295" t="s">
        <v>53</v>
      </c>
    </row>
    <row r="296" spans="1:4" x14ac:dyDescent="0.25">
      <c r="A296" s="3" t="s">
        <v>560</v>
      </c>
      <c r="B296" t="s">
        <v>561</v>
      </c>
      <c r="C296" t="s">
        <v>978</v>
      </c>
      <c r="D296" t="s">
        <v>979</v>
      </c>
    </row>
    <row r="297" spans="1:4" x14ac:dyDescent="0.25">
      <c r="A297" s="3" t="s">
        <v>562</v>
      </c>
      <c r="B297" t="s">
        <v>563</v>
      </c>
      <c r="C297">
        <v>8</v>
      </c>
      <c r="D297" t="s">
        <v>52</v>
      </c>
    </row>
    <row r="298" spans="1:4" x14ac:dyDescent="0.25">
      <c r="A298" s="3" t="s">
        <v>564</v>
      </c>
      <c r="B298" t="s">
        <v>565</v>
      </c>
      <c r="C298">
        <v>8</v>
      </c>
      <c r="D298" t="s">
        <v>52</v>
      </c>
    </row>
    <row r="299" spans="1:4" x14ac:dyDescent="0.25">
      <c r="A299" s="3" t="s">
        <v>566</v>
      </c>
      <c r="B299" t="s">
        <v>567</v>
      </c>
      <c r="C299">
        <v>8</v>
      </c>
      <c r="D299" t="s">
        <v>52</v>
      </c>
    </row>
    <row r="300" spans="1:4" x14ac:dyDescent="0.25">
      <c r="A300" s="3" t="s">
        <v>1082</v>
      </c>
      <c r="B300" t="s">
        <v>1083</v>
      </c>
      <c r="C300">
        <v>8</v>
      </c>
      <c r="D300" t="s">
        <v>52</v>
      </c>
    </row>
    <row r="301" spans="1:4" x14ac:dyDescent="0.25">
      <c r="A301" s="3" t="s">
        <v>568</v>
      </c>
      <c r="B301" t="s">
        <v>569</v>
      </c>
      <c r="C301" t="s">
        <v>978</v>
      </c>
      <c r="D301" t="s">
        <v>979</v>
      </c>
    </row>
    <row r="302" spans="1:4" x14ac:dyDescent="0.25">
      <c r="A302" s="3" t="s">
        <v>570</v>
      </c>
      <c r="B302" t="s">
        <v>571</v>
      </c>
      <c r="C302">
        <v>5</v>
      </c>
      <c r="D302" t="s">
        <v>49</v>
      </c>
    </row>
    <row r="303" spans="1:4" x14ac:dyDescent="0.25">
      <c r="A303" s="3" t="s">
        <v>572</v>
      </c>
      <c r="B303" t="s">
        <v>573</v>
      </c>
      <c r="C303">
        <v>5</v>
      </c>
      <c r="D303" t="s">
        <v>49</v>
      </c>
    </row>
    <row r="304" spans="1:4" x14ac:dyDescent="0.25">
      <c r="A304" s="3" t="s">
        <v>574</v>
      </c>
      <c r="B304" t="s">
        <v>575</v>
      </c>
      <c r="C304">
        <v>5</v>
      </c>
      <c r="D304" t="s">
        <v>49</v>
      </c>
    </row>
    <row r="305" spans="1:4" x14ac:dyDescent="0.25">
      <c r="A305" s="3" t="s">
        <v>576</v>
      </c>
      <c r="B305" t="s">
        <v>577</v>
      </c>
      <c r="C305">
        <v>5</v>
      </c>
      <c r="D305" t="s">
        <v>49</v>
      </c>
    </row>
    <row r="306" spans="1:4" x14ac:dyDescent="0.25">
      <c r="A306" s="3" t="s">
        <v>578</v>
      </c>
      <c r="B306" t="s">
        <v>579</v>
      </c>
      <c r="C306">
        <v>5</v>
      </c>
      <c r="D306" t="s">
        <v>49</v>
      </c>
    </row>
    <row r="307" spans="1:4" x14ac:dyDescent="0.25">
      <c r="A307" s="3" t="s">
        <v>580</v>
      </c>
      <c r="B307" t="s">
        <v>581</v>
      </c>
      <c r="C307">
        <v>5</v>
      </c>
      <c r="D307" t="s">
        <v>49</v>
      </c>
    </row>
    <row r="308" spans="1:4" x14ac:dyDescent="0.25">
      <c r="A308" s="3" t="s">
        <v>582</v>
      </c>
      <c r="B308" t="s">
        <v>583</v>
      </c>
      <c r="C308">
        <v>5</v>
      </c>
      <c r="D308" t="s">
        <v>49</v>
      </c>
    </row>
    <row r="309" spans="1:4" x14ac:dyDescent="0.25">
      <c r="A309" s="3" t="s">
        <v>584</v>
      </c>
      <c r="B309" t="s">
        <v>585</v>
      </c>
      <c r="C309">
        <v>5</v>
      </c>
      <c r="D309" t="s">
        <v>49</v>
      </c>
    </row>
    <row r="310" spans="1:4" x14ac:dyDescent="0.25">
      <c r="A310" s="3" t="s">
        <v>586</v>
      </c>
      <c r="B310" t="s">
        <v>587</v>
      </c>
      <c r="C310">
        <v>5</v>
      </c>
      <c r="D310" t="s">
        <v>49</v>
      </c>
    </row>
    <row r="311" spans="1:4" x14ac:dyDescent="0.25">
      <c r="A311" s="3" t="s">
        <v>588</v>
      </c>
      <c r="B311" t="s">
        <v>589</v>
      </c>
      <c r="C311">
        <v>5</v>
      </c>
      <c r="D311" t="s">
        <v>49</v>
      </c>
    </row>
    <row r="312" spans="1:4" x14ac:dyDescent="0.25">
      <c r="A312" s="3" t="s">
        <v>590</v>
      </c>
      <c r="B312" t="s">
        <v>591</v>
      </c>
      <c r="C312">
        <v>5</v>
      </c>
      <c r="D312" t="s">
        <v>49</v>
      </c>
    </row>
    <row r="313" spans="1:4" x14ac:dyDescent="0.25">
      <c r="A313" s="3" t="s">
        <v>592</v>
      </c>
      <c r="B313" t="s">
        <v>593</v>
      </c>
      <c r="C313">
        <v>5</v>
      </c>
      <c r="D313" t="s">
        <v>49</v>
      </c>
    </row>
    <row r="314" spans="1:4" x14ac:dyDescent="0.25">
      <c r="A314" s="3" t="s">
        <v>594</v>
      </c>
      <c r="B314" t="s">
        <v>595</v>
      </c>
      <c r="C314">
        <v>5</v>
      </c>
      <c r="D314" t="s">
        <v>49</v>
      </c>
    </row>
    <row r="315" spans="1:4" x14ac:dyDescent="0.25">
      <c r="A315" s="3" t="s">
        <v>596</v>
      </c>
      <c r="B315" t="s">
        <v>597</v>
      </c>
      <c r="C315">
        <v>5</v>
      </c>
      <c r="D315" t="s">
        <v>49</v>
      </c>
    </row>
    <row r="316" spans="1:4" x14ac:dyDescent="0.25">
      <c r="A316" t="s">
        <v>1150</v>
      </c>
      <c r="B316" t="s">
        <v>1151</v>
      </c>
      <c r="C316">
        <v>5</v>
      </c>
      <c r="D316" t="s">
        <v>49</v>
      </c>
    </row>
    <row r="317" spans="1:4" x14ac:dyDescent="0.25">
      <c r="A317" t="s">
        <v>1186</v>
      </c>
      <c r="B317" t="s">
        <v>1187</v>
      </c>
      <c r="C317">
        <v>5</v>
      </c>
      <c r="D317" t="s">
        <v>49</v>
      </c>
    </row>
    <row r="318" spans="1:4" x14ac:dyDescent="0.25">
      <c r="A318" t="s">
        <v>1233</v>
      </c>
      <c r="B318" t="s">
        <v>1234</v>
      </c>
      <c r="C318">
        <v>5</v>
      </c>
      <c r="D318" t="s">
        <v>49</v>
      </c>
    </row>
    <row r="319" spans="1:4" x14ac:dyDescent="0.25">
      <c r="A319" t="s">
        <v>1235</v>
      </c>
      <c r="B319" t="s">
        <v>1236</v>
      </c>
      <c r="C319">
        <v>5</v>
      </c>
      <c r="D319" t="s">
        <v>49</v>
      </c>
    </row>
    <row r="320" spans="1:4" x14ac:dyDescent="0.25">
      <c r="A320" s="3" t="s">
        <v>598</v>
      </c>
      <c r="B320" t="s">
        <v>599</v>
      </c>
      <c r="C320" t="s">
        <v>978</v>
      </c>
      <c r="D320" t="s">
        <v>979</v>
      </c>
    </row>
    <row r="321" spans="1:4" x14ac:dyDescent="0.25">
      <c r="A321" s="3" t="s">
        <v>600</v>
      </c>
      <c r="B321" t="s">
        <v>599</v>
      </c>
      <c r="C321">
        <v>6</v>
      </c>
      <c r="D321" t="s">
        <v>50</v>
      </c>
    </row>
    <row r="322" spans="1:4" x14ac:dyDescent="0.25">
      <c r="A322" s="3" t="s">
        <v>1003</v>
      </c>
      <c r="B322" t="s">
        <v>1004</v>
      </c>
      <c r="C322" t="s">
        <v>978</v>
      </c>
      <c r="D322" t="s">
        <v>979</v>
      </c>
    </row>
    <row r="323" spans="1:4" x14ac:dyDescent="0.25">
      <c r="A323" s="3" t="s">
        <v>1005</v>
      </c>
      <c r="B323" t="s">
        <v>1004</v>
      </c>
      <c r="C323">
        <v>6</v>
      </c>
      <c r="D323" t="s">
        <v>50</v>
      </c>
    </row>
    <row r="324" spans="1:4" x14ac:dyDescent="0.25">
      <c r="A324" s="3" t="s">
        <v>601</v>
      </c>
      <c r="B324" t="s">
        <v>602</v>
      </c>
      <c r="C324" t="s">
        <v>978</v>
      </c>
      <c r="D324" t="s">
        <v>979</v>
      </c>
    </row>
    <row r="325" spans="1:4" x14ac:dyDescent="0.25">
      <c r="A325" s="3" t="s">
        <v>603</v>
      </c>
      <c r="B325" t="s">
        <v>604</v>
      </c>
      <c r="C325">
        <v>7</v>
      </c>
      <c r="D325" t="s">
        <v>39</v>
      </c>
    </row>
    <row r="326" spans="1:4" x14ac:dyDescent="0.25">
      <c r="A326" s="3" t="s">
        <v>605</v>
      </c>
      <c r="B326" t="s">
        <v>606</v>
      </c>
      <c r="C326">
        <v>7</v>
      </c>
      <c r="D326" t="s">
        <v>80</v>
      </c>
    </row>
    <row r="327" spans="1:4" x14ac:dyDescent="0.25">
      <c r="A327" t="s">
        <v>1155</v>
      </c>
      <c r="B327" t="s">
        <v>1156</v>
      </c>
      <c r="C327">
        <v>7</v>
      </c>
      <c r="D327" t="s">
        <v>80</v>
      </c>
    </row>
    <row r="328" spans="1:4" x14ac:dyDescent="0.25">
      <c r="A328" s="3" t="s">
        <v>607</v>
      </c>
      <c r="B328" t="s">
        <v>608</v>
      </c>
      <c r="C328">
        <v>7</v>
      </c>
      <c r="D328" t="s">
        <v>39</v>
      </c>
    </row>
    <row r="329" spans="1:4" x14ac:dyDescent="0.25">
      <c r="A329" s="3" t="s">
        <v>1065</v>
      </c>
      <c r="B329" t="s">
        <v>1066</v>
      </c>
      <c r="C329" t="s">
        <v>978</v>
      </c>
      <c r="D329" t="s">
        <v>979</v>
      </c>
    </row>
    <row r="330" spans="1:4" x14ac:dyDescent="0.25">
      <c r="A330" s="3" t="s">
        <v>1067</v>
      </c>
      <c r="B330" t="s">
        <v>1066</v>
      </c>
      <c r="C330">
        <v>8</v>
      </c>
      <c r="D330" t="s">
        <v>1073</v>
      </c>
    </row>
    <row r="331" spans="1:4" x14ac:dyDescent="0.25">
      <c r="A331" t="s">
        <v>1218</v>
      </c>
      <c r="B331" t="s">
        <v>1219</v>
      </c>
      <c r="C331" t="s">
        <v>978</v>
      </c>
      <c r="D331" t="s">
        <v>979</v>
      </c>
    </row>
    <row r="332" spans="1:4" x14ac:dyDescent="0.25">
      <c r="A332" t="s">
        <v>1220</v>
      </c>
      <c r="B332" t="s">
        <v>1219</v>
      </c>
      <c r="C332">
        <v>24</v>
      </c>
      <c r="D332" t="s">
        <v>1226</v>
      </c>
    </row>
    <row r="333" spans="1:4" x14ac:dyDescent="0.25">
      <c r="A333" s="18" t="s">
        <v>1107</v>
      </c>
      <c r="B333" s="18" t="s">
        <v>1108</v>
      </c>
      <c r="C333" t="s">
        <v>978</v>
      </c>
      <c r="D333" t="s">
        <v>979</v>
      </c>
    </row>
    <row r="334" spans="1:4" x14ac:dyDescent="0.25">
      <c r="A334" s="18" t="s">
        <v>1109</v>
      </c>
      <c r="B334" s="18" t="s">
        <v>1110</v>
      </c>
      <c r="C334" t="s">
        <v>978</v>
      </c>
      <c r="D334" t="s">
        <v>979</v>
      </c>
    </row>
    <row r="335" spans="1:4" x14ac:dyDescent="0.25">
      <c r="A335" s="18" t="s">
        <v>1111</v>
      </c>
      <c r="B335" s="18" t="s">
        <v>1112</v>
      </c>
      <c r="C335">
        <v>9</v>
      </c>
      <c r="D335" t="s">
        <v>1125</v>
      </c>
    </row>
    <row r="336" spans="1:4" x14ac:dyDescent="0.25">
      <c r="A336" s="3" t="s">
        <v>609</v>
      </c>
      <c r="B336" t="s">
        <v>610</v>
      </c>
      <c r="C336" t="s">
        <v>978</v>
      </c>
      <c r="D336" t="s">
        <v>979</v>
      </c>
    </row>
    <row r="337" spans="1:4" x14ac:dyDescent="0.25">
      <c r="A337" s="3" t="s">
        <v>611</v>
      </c>
      <c r="B337" t="s">
        <v>561</v>
      </c>
      <c r="C337" t="s">
        <v>978</v>
      </c>
      <c r="D337" t="s">
        <v>979</v>
      </c>
    </row>
    <row r="338" spans="1:4" x14ac:dyDescent="0.25">
      <c r="A338" s="3" t="s">
        <v>612</v>
      </c>
      <c r="B338" t="s">
        <v>479</v>
      </c>
      <c r="C338" t="s">
        <v>978</v>
      </c>
      <c r="D338" t="s">
        <v>979</v>
      </c>
    </row>
    <row r="339" spans="1:4" x14ac:dyDescent="0.25">
      <c r="A339" s="3" t="s">
        <v>613</v>
      </c>
      <c r="B339" t="s">
        <v>614</v>
      </c>
      <c r="C339">
        <v>10</v>
      </c>
      <c r="D339" t="s">
        <v>37</v>
      </c>
    </row>
    <row r="340" spans="1:4" x14ac:dyDescent="0.25">
      <c r="A340" t="s">
        <v>1188</v>
      </c>
      <c r="B340" t="s">
        <v>1185</v>
      </c>
      <c r="C340">
        <v>10</v>
      </c>
      <c r="D340" t="s">
        <v>37</v>
      </c>
    </row>
    <row r="341" spans="1:4" x14ac:dyDescent="0.25">
      <c r="A341" s="3" t="s">
        <v>615</v>
      </c>
      <c r="B341" t="s">
        <v>483</v>
      </c>
      <c r="C341">
        <v>10</v>
      </c>
      <c r="D341" t="s">
        <v>37</v>
      </c>
    </row>
    <row r="342" spans="1:4" x14ac:dyDescent="0.25">
      <c r="A342" s="3" t="s">
        <v>616</v>
      </c>
      <c r="B342" t="s">
        <v>569</v>
      </c>
      <c r="C342" t="s">
        <v>978</v>
      </c>
      <c r="D342" t="s">
        <v>979</v>
      </c>
    </row>
    <row r="343" spans="1:4" x14ac:dyDescent="0.25">
      <c r="A343" s="3" t="s">
        <v>1026</v>
      </c>
      <c r="B343" t="s">
        <v>571</v>
      </c>
      <c r="C343">
        <v>13</v>
      </c>
      <c r="D343" t="s">
        <v>55</v>
      </c>
    </row>
    <row r="344" spans="1:4" x14ac:dyDescent="0.25">
      <c r="A344" s="3" t="s">
        <v>617</v>
      </c>
      <c r="B344" t="s">
        <v>618</v>
      </c>
      <c r="C344">
        <v>13</v>
      </c>
      <c r="D344" t="s">
        <v>55</v>
      </c>
    </row>
    <row r="345" spans="1:4" x14ac:dyDescent="0.25">
      <c r="A345" s="3" t="s">
        <v>619</v>
      </c>
      <c r="B345" t="s">
        <v>620</v>
      </c>
      <c r="C345">
        <v>13</v>
      </c>
      <c r="D345" t="s">
        <v>55</v>
      </c>
    </row>
    <row r="346" spans="1:4" x14ac:dyDescent="0.25">
      <c r="A346" s="3" t="s">
        <v>621</v>
      </c>
      <c r="B346" t="s">
        <v>622</v>
      </c>
      <c r="C346">
        <v>13</v>
      </c>
      <c r="D346" t="s">
        <v>55</v>
      </c>
    </row>
    <row r="347" spans="1:4" x14ac:dyDescent="0.25">
      <c r="A347" s="3" t="s">
        <v>623</v>
      </c>
      <c r="B347" t="s">
        <v>579</v>
      </c>
      <c r="C347">
        <v>13</v>
      </c>
      <c r="D347" t="s">
        <v>55</v>
      </c>
    </row>
    <row r="348" spans="1:4" x14ac:dyDescent="0.25">
      <c r="A348" s="3" t="s">
        <v>624</v>
      </c>
      <c r="B348" t="s">
        <v>581</v>
      </c>
      <c r="C348">
        <v>13</v>
      </c>
      <c r="D348" t="s">
        <v>55</v>
      </c>
    </row>
    <row r="349" spans="1:4" x14ac:dyDescent="0.25">
      <c r="A349" s="3" t="s">
        <v>625</v>
      </c>
      <c r="B349" t="s">
        <v>583</v>
      </c>
      <c r="C349">
        <v>13</v>
      </c>
      <c r="D349" t="s">
        <v>55</v>
      </c>
    </row>
    <row r="350" spans="1:4" x14ac:dyDescent="0.25">
      <c r="A350" s="3" t="s">
        <v>626</v>
      </c>
      <c r="B350" t="s">
        <v>585</v>
      </c>
      <c r="C350">
        <v>13</v>
      </c>
      <c r="D350" t="s">
        <v>55</v>
      </c>
    </row>
    <row r="351" spans="1:4" x14ac:dyDescent="0.25">
      <c r="A351" s="3" t="s">
        <v>627</v>
      </c>
      <c r="B351" t="s">
        <v>591</v>
      </c>
      <c r="C351">
        <v>13</v>
      </c>
      <c r="D351" t="s">
        <v>55</v>
      </c>
    </row>
    <row r="352" spans="1:4" x14ac:dyDescent="0.25">
      <c r="A352" s="3" t="s">
        <v>628</v>
      </c>
      <c r="B352" t="s">
        <v>593</v>
      </c>
      <c r="C352">
        <v>13</v>
      </c>
      <c r="D352" t="s">
        <v>55</v>
      </c>
    </row>
    <row r="353" spans="1:4" x14ac:dyDescent="0.25">
      <c r="A353" s="3" t="s">
        <v>1047</v>
      </c>
      <c r="B353" t="s">
        <v>595</v>
      </c>
      <c r="C353">
        <v>13</v>
      </c>
      <c r="D353" t="s">
        <v>55</v>
      </c>
    </row>
    <row r="354" spans="1:4" x14ac:dyDescent="0.25">
      <c r="A354" s="3" t="s">
        <v>629</v>
      </c>
      <c r="B354" t="s">
        <v>597</v>
      </c>
      <c r="C354">
        <v>13</v>
      </c>
      <c r="D354" t="s">
        <v>55</v>
      </c>
    </row>
    <row r="355" spans="1:4" x14ac:dyDescent="0.25">
      <c r="A355" t="s">
        <v>1152</v>
      </c>
      <c r="B355" t="s">
        <v>1151</v>
      </c>
      <c r="C355">
        <v>13</v>
      </c>
      <c r="D355" t="s">
        <v>55</v>
      </c>
    </row>
    <row r="356" spans="1:4" x14ac:dyDescent="0.25">
      <c r="A356" t="s">
        <v>1189</v>
      </c>
      <c r="B356" t="s">
        <v>1187</v>
      </c>
      <c r="C356">
        <v>13</v>
      </c>
      <c r="D356" t="s">
        <v>55</v>
      </c>
    </row>
    <row r="357" spans="1:4" x14ac:dyDescent="0.25">
      <c r="A357" t="s">
        <v>1237</v>
      </c>
      <c r="B357" t="s">
        <v>1234</v>
      </c>
      <c r="C357">
        <v>13</v>
      </c>
      <c r="D357" t="s">
        <v>55</v>
      </c>
    </row>
    <row r="358" spans="1:4" x14ac:dyDescent="0.25">
      <c r="A358" s="3" t="s">
        <v>630</v>
      </c>
      <c r="B358" t="s">
        <v>631</v>
      </c>
      <c r="C358" t="s">
        <v>978</v>
      </c>
      <c r="D358" t="s">
        <v>979</v>
      </c>
    </row>
    <row r="359" spans="1:4" x14ac:dyDescent="0.25">
      <c r="A359" s="3" t="s">
        <v>632</v>
      </c>
      <c r="B359" t="s">
        <v>633</v>
      </c>
      <c r="C359">
        <v>16</v>
      </c>
      <c r="D359" t="s">
        <v>58</v>
      </c>
    </row>
    <row r="360" spans="1:4" x14ac:dyDescent="0.25">
      <c r="A360" s="3" t="s">
        <v>1217</v>
      </c>
      <c r="B360" t="s">
        <v>359</v>
      </c>
      <c r="C360">
        <v>16</v>
      </c>
      <c r="D360" t="s">
        <v>58</v>
      </c>
    </row>
    <row r="361" spans="1:4" x14ac:dyDescent="0.25">
      <c r="A361" s="17" t="s">
        <v>1084</v>
      </c>
      <c r="B361" s="16" t="s">
        <v>1085</v>
      </c>
      <c r="C361" t="s">
        <v>978</v>
      </c>
      <c r="D361" t="s">
        <v>979</v>
      </c>
    </row>
    <row r="362" spans="1:4" x14ac:dyDescent="0.25">
      <c r="A362" s="17" t="s">
        <v>1086</v>
      </c>
      <c r="B362" s="16" t="s">
        <v>1087</v>
      </c>
      <c r="C362">
        <v>24</v>
      </c>
      <c r="D362" t="s">
        <v>1090</v>
      </c>
    </row>
    <row r="363" spans="1:4" x14ac:dyDescent="0.25">
      <c r="A363" s="3" t="s">
        <v>1068</v>
      </c>
      <c r="B363" t="s">
        <v>1069</v>
      </c>
      <c r="C363" t="s">
        <v>978</v>
      </c>
      <c r="D363" t="s">
        <v>979</v>
      </c>
    </row>
    <row r="364" spans="1:4" x14ac:dyDescent="0.25">
      <c r="A364" s="3" t="s">
        <v>1070</v>
      </c>
      <c r="B364" t="s">
        <v>503</v>
      </c>
      <c r="C364">
        <v>17</v>
      </c>
      <c r="D364" t="s">
        <v>44</v>
      </c>
    </row>
    <row r="365" spans="1:4" x14ac:dyDescent="0.25">
      <c r="A365" s="3" t="s">
        <v>634</v>
      </c>
      <c r="B365" t="s">
        <v>635</v>
      </c>
      <c r="C365" t="s">
        <v>978</v>
      </c>
      <c r="D365" t="s">
        <v>979</v>
      </c>
    </row>
    <row r="366" spans="1:4" x14ac:dyDescent="0.25">
      <c r="A366" s="3" t="s">
        <v>636</v>
      </c>
      <c r="B366" t="s">
        <v>604</v>
      </c>
      <c r="C366">
        <v>16</v>
      </c>
      <c r="D366" t="s">
        <v>39</v>
      </c>
    </row>
    <row r="367" spans="1:4" x14ac:dyDescent="0.25">
      <c r="A367" s="3" t="s">
        <v>637</v>
      </c>
      <c r="B367" t="s">
        <v>638</v>
      </c>
      <c r="C367" t="s">
        <v>978</v>
      </c>
      <c r="D367" t="s">
        <v>979</v>
      </c>
    </row>
    <row r="368" spans="1:4" x14ac:dyDescent="0.25">
      <c r="A368" s="3" t="s">
        <v>639</v>
      </c>
      <c r="B368" t="s">
        <v>640</v>
      </c>
      <c r="C368" t="s">
        <v>978</v>
      </c>
      <c r="D368" t="s">
        <v>979</v>
      </c>
    </row>
    <row r="369" spans="1:4" x14ac:dyDescent="0.25">
      <c r="A369" s="3" t="s">
        <v>641</v>
      </c>
      <c r="B369" t="s">
        <v>640</v>
      </c>
      <c r="C369">
        <v>19</v>
      </c>
      <c r="D369" t="s">
        <v>59</v>
      </c>
    </row>
    <row r="370" spans="1:4" x14ac:dyDescent="0.25">
      <c r="A370" s="3" t="s">
        <v>642</v>
      </c>
      <c r="B370" t="s">
        <v>643</v>
      </c>
      <c r="C370" t="s">
        <v>978</v>
      </c>
      <c r="D370" t="s">
        <v>979</v>
      </c>
    </row>
    <row r="371" spans="1:4" x14ac:dyDescent="0.25">
      <c r="A371" s="3" t="s">
        <v>644</v>
      </c>
      <c r="B371" t="s">
        <v>643</v>
      </c>
      <c r="C371">
        <v>19</v>
      </c>
      <c r="D371" t="s">
        <v>59</v>
      </c>
    </row>
    <row r="372" spans="1:4" x14ac:dyDescent="0.25">
      <c r="A372" s="3" t="s">
        <v>645</v>
      </c>
      <c r="B372" t="s">
        <v>646</v>
      </c>
      <c r="C372" t="s">
        <v>978</v>
      </c>
      <c r="D372" t="s">
        <v>979</v>
      </c>
    </row>
    <row r="373" spans="1:4" x14ac:dyDescent="0.25">
      <c r="A373" s="3" t="s">
        <v>647</v>
      </c>
      <c r="B373" t="s">
        <v>646</v>
      </c>
      <c r="C373">
        <v>19</v>
      </c>
      <c r="D373" t="s">
        <v>59</v>
      </c>
    </row>
    <row r="374" spans="1:4" x14ac:dyDescent="0.25">
      <c r="A374" s="3" t="s">
        <v>648</v>
      </c>
      <c r="B374" t="s">
        <v>649</v>
      </c>
      <c r="C374" t="s">
        <v>978</v>
      </c>
      <c r="D374" t="s">
        <v>979</v>
      </c>
    </row>
    <row r="375" spans="1:4" x14ac:dyDescent="0.25">
      <c r="A375" s="3" t="s">
        <v>650</v>
      </c>
      <c r="B375" t="s">
        <v>651</v>
      </c>
      <c r="C375">
        <v>19</v>
      </c>
      <c r="D375" t="s">
        <v>59</v>
      </c>
    </row>
    <row r="376" spans="1:4" x14ac:dyDescent="0.25">
      <c r="A376" s="3" t="s">
        <v>652</v>
      </c>
      <c r="B376" t="s">
        <v>653</v>
      </c>
      <c r="C376" t="s">
        <v>978</v>
      </c>
      <c r="D376" t="s">
        <v>1128</v>
      </c>
    </row>
    <row r="377" spans="1:4" x14ac:dyDescent="0.25">
      <c r="A377" s="3" t="s">
        <v>654</v>
      </c>
      <c r="B377" t="s">
        <v>653</v>
      </c>
      <c r="C377" t="s">
        <v>978</v>
      </c>
      <c r="D377" t="s">
        <v>979</v>
      </c>
    </row>
    <row r="378" spans="1:4" x14ac:dyDescent="0.25">
      <c r="A378" s="3" t="s">
        <v>655</v>
      </c>
      <c r="B378" t="s">
        <v>656</v>
      </c>
      <c r="C378" t="s">
        <v>978</v>
      </c>
      <c r="D378" t="s">
        <v>979</v>
      </c>
    </row>
    <row r="379" spans="1:4" x14ac:dyDescent="0.25">
      <c r="A379" s="3" t="s">
        <v>657</v>
      </c>
      <c r="B379" t="s">
        <v>658</v>
      </c>
      <c r="C379">
        <v>21</v>
      </c>
      <c r="D379" t="s">
        <v>62</v>
      </c>
    </row>
    <row r="380" spans="1:4" x14ac:dyDescent="0.25">
      <c r="A380" s="3" t="s">
        <v>659</v>
      </c>
      <c r="B380" t="s">
        <v>660</v>
      </c>
      <c r="C380" t="s">
        <v>978</v>
      </c>
      <c r="D380" t="s">
        <v>979</v>
      </c>
    </row>
    <row r="381" spans="1:4" x14ac:dyDescent="0.25">
      <c r="A381" s="3" t="s">
        <v>661</v>
      </c>
      <c r="B381" t="s">
        <v>662</v>
      </c>
      <c r="C381">
        <v>22</v>
      </c>
      <c r="D381" t="s">
        <v>64</v>
      </c>
    </row>
    <row r="382" spans="1:4" x14ac:dyDescent="0.25">
      <c r="A382" s="3" t="s">
        <v>663</v>
      </c>
      <c r="B382" t="s">
        <v>664</v>
      </c>
      <c r="C382">
        <v>22</v>
      </c>
      <c r="D382" t="s">
        <v>64</v>
      </c>
    </row>
    <row r="383" spans="1:4" x14ac:dyDescent="0.25">
      <c r="A383" s="3" t="s">
        <v>665</v>
      </c>
      <c r="B383" t="s">
        <v>666</v>
      </c>
      <c r="C383">
        <v>22</v>
      </c>
      <c r="D383" t="s">
        <v>64</v>
      </c>
    </row>
    <row r="384" spans="1:4" x14ac:dyDescent="0.25">
      <c r="A384" s="18" t="s">
        <v>1113</v>
      </c>
      <c r="B384" s="18" t="s">
        <v>1114</v>
      </c>
      <c r="C384">
        <v>22</v>
      </c>
      <c r="D384" t="s">
        <v>64</v>
      </c>
    </row>
    <row r="385" spans="1:4" x14ac:dyDescent="0.25">
      <c r="A385" s="3" t="s">
        <v>1093</v>
      </c>
      <c r="B385" t="s">
        <v>1101</v>
      </c>
      <c r="C385" t="s">
        <v>978</v>
      </c>
      <c r="D385" t="s">
        <v>979</v>
      </c>
    </row>
    <row r="386" spans="1:4" x14ac:dyDescent="0.25">
      <c r="A386" s="3" t="s">
        <v>1099</v>
      </c>
      <c r="B386" t="s">
        <v>1100</v>
      </c>
      <c r="C386">
        <v>22</v>
      </c>
      <c r="D386" t="s">
        <v>64</v>
      </c>
    </row>
    <row r="387" spans="1:4" x14ac:dyDescent="0.25">
      <c r="A387" t="s">
        <v>1222</v>
      </c>
      <c r="B387" t="s">
        <v>1223</v>
      </c>
      <c r="C387">
        <v>23</v>
      </c>
      <c r="D387" t="s">
        <v>66</v>
      </c>
    </row>
    <row r="388" spans="1:4" x14ac:dyDescent="0.25">
      <c r="A388" s="3" t="s">
        <v>667</v>
      </c>
      <c r="B388" t="s">
        <v>668</v>
      </c>
      <c r="C388">
        <v>23</v>
      </c>
      <c r="D388" t="s">
        <v>67</v>
      </c>
    </row>
    <row r="389" spans="1:4" x14ac:dyDescent="0.25">
      <c r="A389" s="3" t="s">
        <v>669</v>
      </c>
      <c r="B389" t="s">
        <v>670</v>
      </c>
      <c r="C389" t="s">
        <v>980</v>
      </c>
      <c r="D389" t="s">
        <v>981</v>
      </c>
    </row>
    <row r="390" spans="1:4" x14ac:dyDescent="0.25">
      <c r="A390" s="3" t="s">
        <v>671</v>
      </c>
      <c r="B390" t="s">
        <v>672</v>
      </c>
      <c r="C390" t="s">
        <v>980</v>
      </c>
      <c r="D390" t="s">
        <v>981</v>
      </c>
    </row>
    <row r="391" spans="1:4" x14ac:dyDescent="0.25">
      <c r="A391" s="3" t="s">
        <v>673</v>
      </c>
      <c r="B391" t="s">
        <v>674</v>
      </c>
      <c r="C391" t="s">
        <v>980</v>
      </c>
      <c r="D391" t="s">
        <v>981</v>
      </c>
    </row>
    <row r="392" spans="1:4" x14ac:dyDescent="0.25">
      <c r="A392" s="3" t="s">
        <v>675</v>
      </c>
      <c r="B392" t="s">
        <v>264</v>
      </c>
      <c r="C392" t="s">
        <v>980</v>
      </c>
      <c r="D392" t="s">
        <v>981</v>
      </c>
    </row>
    <row r="393" spans="1:4" x14ac:dyDescent="0.25">
      <c r="A393" t="s">
        <v>1224</v>
      </c>
      <c r="B393" t="s">
        <v>1225</v>
      </c>
      <c r="C393" t="s">
        <v>980</v>
      </c>
      <c r="D393" t="s">
        <v>981</v>
      </c>
    </row>
    <row r="394" spans="1:4" x14ac:dyDescent="0.25">
      <c r="A394" s="3" t="s">
        <v>676</v>
      </c>
      <c r="B394" t="s">
        <v>266</v>
      </c>
      <c r="C394" t="s">
        <v>980</v>
      </c>
      <c r="D394" t="s">
        <v>981</v>
      </c>
    </row>
    <row r="395" spans="1:4" x14ac:dyDescent="0.25">
      <c r="A395" s="3" t="s">
        <v>677</v>
      </c>
      <c r="B395" t="s">
        <v>262</v>
      </c>
      <c r="C395" t="s">
        <v>980</v>
      </c>
      <c r="D395" t="s">
        <v>981</v>
      </c>
    </row>
    <row r="396" spans="1:4" x14ac:dyDescent="0.25">
      <c r="A396" t="s">
        <v>1135</v>
      </c>
      <c r="B396" t="s">
        <v>260</v>
      </c>
      <c r="C396" t="s">
        <v>980</v>
      </c>
      <c r="D396" t="s">
        <v>981</v>
      </c>
    </row>
    <row r="397" spans="1:4" x14ac:dyDescent="0.25">
      <c r="A397" s="3" t="s">
        <v>678</v>
      </c>
      <c r="B397" t="s">
        <v>679</v>
      </c>
      <c r="C397" t="s">
        <v>980</v>
      </c>
      <c r="D397" t="s">
        <v>981</v>
      </c>
    </row>
    <row r="398" spans="1:4" x14ac:dyDescent="0.25">
      <c r="A398" s="3" t="s">
        <v>680</v>
      </c>
      <c r="B398" t="s">
        <v>260</v>
      </c>
      <c r="C398" t="s">
        <v>980</v>
      </c>
      <c r="D398" t="s">
        <v>981</v>
      </c>
    </row>
    <row r="399" spans="1:4" x14ac:dyDescent="0.25">
      <c r="A399" s="3" t="s">
        <v>681</v>
      </c>
      <c r="B399" t="s">
        <v>682</v>
      </c>
      <c r="C399" t="s">
        <v>980</v>
      </c>
      <c r="D399" t="s">
        <v>981</v>
      </c>
    </row>
    <row r="400" spans="1:4" x14ac:dyDescent="0.25">
      <c r="A400" s="3" t="s">
        <v>683</v>
      </c>
      <c r="B400" t="s">
        <v>684</v>
      </c>
      <c r="C400" t="s">
        <v>980</v>
      </c>
      <c r="D400" t="s">
        <v>981</v>
      </c>
    </row>
    <row r="401" spans="1:4" x14ac:dyDescent="0.25">
      <c r="A401" s="3" t="s">
        <v>685</v>
      </c>
      <c r="B401" t="s">
        <v>686</v>
      </c>
      <c r="C401" t="s">
        <v>980</v>
      </c>
      <c r="D401" t="s">
        <v>981</v>
      </c>
    </row>
    <row r="402" spans="1:4" x14ac:dyDescent="0.25">
      <c r="A402" s="3" t="s">
        <v>687</v>
      </c>
      <c r="B402" t="s">
        <v>688</v>
      </c>
      <c r="C402" t="s">
        <v>980</v>
      </c>
      <c r="D402" t="s">
        <v>981</v>
      </c>
    </row>
    <row r="403" spans="1:4" x14ac:dyDescent="0.25">
      <c r="A403" s="3" t="s">
        <v>689</v>
      </c>
      <c r="B403" t="s">
        <v>690</v>
      </c>
      <c r="C403" t="s">
        <v>980</v>
      </c>
      <c r="D403" t="s">
        <v>981</v>
      </c>
    </row>
    <row r="404" spans="1:4" x14ac:dyDescent="0.25">
      <c r="A404" s="3" t="s">
        <v>691</v>
      </c>
      <c r="B404" t="s">
        <v>692</v>
      </c>
      <c r="C404" t="s">
        <v>980</v>
      </c>
      <c r="D404" t="s">
        <v>981</v>
      </c>
    </row>
    <row r="405" spans="1:4" x14ac:dyDescent="0.25">
      <c r="A405" s="3" t="s">
        <v>693</v>
      </c>
      <c r="B405" t="s">
        <v>694</v>
      </c>
      <c r="C405" t="s">
        <v>980</v>
      </c>
      <c r="D405" t="s">
        <v>981</v>
      </c>
    </row>
    <row r="406" spans="1:4" x14ac:dyDescent="0.25">
      <c r="A406" s="3" t="s">
        <v>986</v>
      </c>
      <c r="B406" t="s">
        <v>987</v>
      </c>
      <c r="C406" t="s">
        <v>980</v>
      </c>
      <c r="D406" t="s">
        <v>981</v>
      </c>
    </row>
    <row r="407" spans="1:4" x14ac:dyDescent="0.25">
      <c r="A407" s="18" t="s">
        <v>1048</v>
      </c>
      <c r="B407" s="18" t="s">
        <v>1049</v>
      </c>
      <c r="C407" t="s">
        <v>980</v>
      </c>
      <c r="D407" t="s">
        <v>981</v>
      </c>
    </row>
    <row r="408" spans="1:4" x14ac:dyDescent="0.25">
      <c r="A408" s="18" t="s">
        <v>1050</v>
      </c>
      <c r="B408" s="18" t="s">
        <v>1051</v>
      </c>
      <c r="C408" t="s">
        <v>980</v>
      </c>
      <c r="D408" t="s">
        <v>981</v>
      </c>
    </row>
    <row r="409" spans="1:4" x14ac:dyDescent="0.25">
      <c r="A409" s="3" t="s">
        <v>695</v>
      </c>
      <c r="B409" t="s">
        <v>696</v>
      </c>
      <c r="C409" t="s">
        <v>980</v>
      </c>
      <c r="D409" t="s">
        <v>981</v>
      </c>
    </row>
    <row r="410" spans="1:4" x14ac:dyDescent="0.25">
      <c r="A410" s="3" t="s">
        <v>697</v>
      </c>
      <c r="B410" t="s">
        <v>698</v>
      </c>
      <c r="C410" t="s">
        <v>980</v>
      </c>
      <c r="D410" t="s">
        <v>981</v>
      </c>
    </row>
    <row r="411" spans="1:4" x14ac:dyDescent="0.25">
      <c r="A411" s="3" t="s">
        <v>699</v>
      </c>
      <c r="B411" t="s">
        <v>700</v>
      </c>
      <c r="C411" t="s">
        <v>980</v>
      </c>
      <c r="D411" t="s">
        <v>981</v>
      </c>
    </row>
    <row r="412" spans="1:4" x14ac:dyDescent="0.25">
      <c r="A412" s="3" t="s">
        <v>701</v>
      </c>
      <c r="B412" t="s">
        <v>172</v>
      </c>
      <c r="C412" t="s">
        <v>980</v>
      </c>
      <c r="D412" t="s">
        <v>981</v>
      </c>
    </row>
    <row r="413" spans="1:4" x14ac:dyDescent="0.25">
      <c r="A413" s="3" t="s">
        <v>702</v>
      </c>
      <c r="B413" t="s">
        <v>170</v>
      </c>
      <c r="C413" t="s">
        <v>980</v>
      </c>
      <c r="D413" t="s">
        <v>981</v>
      </c>
    </row>
    <row r="414" spans="1:4" x14ac:dyDescent="0.25">
      <c r="A414" s="3" t="s">
        <v>703</v>
      </c>
      <c r="B414" t="s">
        <v>704</v>
      </c>
      <c r="C414" t="s">
        <v>980</v>
      </c>
      <c r="D414" t="s">
        <v>981</v>
      </c>
    </row>
    <row r="415" spans="1:4" x14ac:dyDescent="0.25">
      <c r="A415" s="3" t="s">
        <v>705</v>
      </c>
      <c r="B415" t="s">
        <v>706</v>
      </c>
      <c r="C415" t="s">
        <v>980</v>
      </c>
      <c r="D415" t="s">
        <v>981</v>
      </c>
    </row>
    <row r="416" spans="1:4" x14ac:dyDescent="0.25">
      <c r="A416" s="3" t="s">
        <v>707</v>
      </c>
      <c r="B416" t="s">
        <v>708</v>
      </c>
      <c r="C416" t="s">
        <v>980</v>
      </c>
      <c r="D416" t="s">
        <v>981</v>
      </c>
    </row>
    <row r="417" spans="1:4" x14ac:dyDescent="0.25">
      <c r="A417" s="3" t="s">
        <v>709</v>
      </c>
      <c r="B417" t="s">
        <v>710</v>
      </c>
      <c r="C417" t="s">
        <v>980</v>
      </c>
      <c r="D417" t="s">
        <v>981</v>
      </c>
    </row>
    <row r="418" spans="1:4" x14ac:dyDescent="0.25">
      <c r="A418" s="3" t="s">
        <v>711</v>
      </c>
      <c r="B418" t="s">
        <v>712</v>
      </c>
      <c r="C418" t="s">
        <v>980</v>
      </c>
      <c r="D418" t="s">
        <v>981</v>
      </c>
    </row>
    <row r="419" spans="1:4" x14ac:dyDescent="0.25">
      <c r="A419" s="3" t="s">
        <v>713</v>
      </c>
      <c r="B419" t="s">
        <v>172</v>
      </c>
      <c r="C419" t="s">
        <v>980</v>
      </c>
      <c r="D419" t="s">
        <v>981</v>
      </c>
    </row>
    <row r="420" spans="1:4" x14ac:dyDescent="0.25">
      <c r="A420" s="3" t="s">
        <v>714</v>
      </c>
      <c r="B420" t="s">
        <v>715</v>
      </c>
      <c r="C420" t="s">
        <v>980</v>
      </c>
      <c r="D420" t="s">
        <v>981</v>
      </c>
    </row>
    <row r="421" spans="1:4" x14ac:dyDescent="0.25">
      <c r="A421" s="3" t="s">
        <v>716</v>
      </c>
      <c r="B421" t="s">
        <v>717</v>
      </c>
      <c r="C421" t="s">
        <v>980</v>
      </c>
      <c r="D421" t="s">
        <v>981</v>
      </c>
    </row>
    <row r="422" spans="1:4" x14ac:dyDescent="0.25">
      <c r="A422" s="3" t="s">
        <v>718</v>
      </c>
      <c r="B422" t="s">
        <v>719</v>
      </c>
      <c r="C422" t="s">
        <v>980</v>
      </c>
      <c r="D422" t="s">
        <v>981</v>
      </c>
    </row>
    <row r="423" spans="1:4" x14ac:dyDescent="0.25">
      <c r="A423" s="3" t="s">
        <v>720</v>
      </c>
      <c r="B423" t="s">
        <v>721</v>
      </c>
      <c r="C423" t="s">
        <v>980</v>
      </c>
      <c r="D423" t="s">
        <v>981</v>
      </c>
    </row>
    <row r="424" spans="1:4" x14ac:dyDescent="0.25">
      <c r="A424" s="3" t="s">
        <v>722</v>
      </c>
      <c r="B424" t="s">
        <v>723</v>
      </c>
      <c r="C424" t="s">
        <v>980</v>
      </c>
      <c r="D424" t="s">
        <v>981</v>
      </c>
    </row>
    <row r="425" spans="1:4" x14ac:dyDescent="0.25">
      <c r="A425" s="3" t="s">
        <v>724</v>
      </c>
      <c r="B425" t="s">
        <v>725</v>
      </c>
      <c r="C425" t="s">
        <v>980</v>
      </c>
      <c r="D425" t="s">
        <v>981</v>
      </c>
    </row>
    <row r="426" spans="1:4" x14ac:dyDescent="0.25">
      <c r="A426" s="3" t="s">
        <v>726</v>
      </c>
      <c r="B426" t="s">
        <v>264</v>
      </c>
      <c r="C426" t="s">
        <v>980</v>
      </c>
      <c r="D426" t="s">
        <v>981</v>
      </c>
    </row>
    <row r="427" spans="1:4" x14ac:dyDescent="0.25">
      <c r="A427" s="18" t="s">
        <v>1052</v>
      </c>
      <c r="B427" s="18" t="s">
        <v>1053</v>
      </c>
      <c r="C427" t="s">
        <v>980</v>
      </c>
      <c r="D427" t="s">
        <v>981</v>
      </c>
    </row>
    <row r="428" spans="1:4" x14ac:dyDescent="0.25">
      <c r="A428" s="18" t="s">
        <v>1054</v>
      </c>
      <c r="B428" s="18" t="s">
        <v>1055</v>
      </c>
      <c r="C428" t="s">
        <v>980</v>
      </c>
      <c r="D428" t="s">
        <v>981</v>
      </c>
    </row>
    <row r="429" spans="1:4" x14ac:dyDescent="0.25">
      <c r="A429" s="18" t="s">
        <v>1071</v>
      </c>
      <c r="B429" s="18" t="s">
        <v>260</v>
      </c>
      <c r="C429" t="s">
        <v>980</v>
      </c>
      <c r="D429" t="s">
        <v>981</v>
      </c>
    </row>
    <row r="430" spans="1:4" x14ac:dyDescent="0.25">
      <c r="A430" s="3" t="s">
        <v>727</v>
      </c>
      <c r="B430" t="s">
        <v>728</v>
      </c>
      <c r="C430" t="s">
        <v>980</v>
      </c>
      <c r="D430" t="s">
        <v>981</v>
      </c>
    </row>
    <row r="431" spans="1:4" x14ac:dyDescent="0.25">
      <c r="A431" s="18" t="s">
        <v>1038</v>
      </c>
      <c r="B431" s="18" t="s">
        <v>1039</v>
      </c>
      <c r="C431" t="s">
        <v>980</v>
      </c>
      <c r="D431" t="s">
        <v>981</v>
      </c>
    </row>
    <row r="432" spans="1:4" x14ac:dyDescent="0.25">
      <c r="A432" s="3" t="s">
        <v>988</v>
      </c>
      <c r="B432" t="s">
        <v>989</v>
      </c>
      <c r="C432" t="s">
        <v>980</v>
      </c>
      <c r="D432" t="s">
        <v>981</v>
      </c>
    </row>
    <row r="433" spans="1:4" x14ac:dyDescent="0.25">
      <c r="A433" s="3" t="s">
        <v>729</v>
      </c>
      <c r="B433" t="s">
        <v>730</v>
      </c>
      <c r="C433" t="s">
        <v>980</v>
      </c>
      <c r="D433" t="s">
        <v>981</v>
      </c>
    </row>
    <row r="434" spans="1:4" x14ac:dyDescent="0.25">
      <c r="A434" s="3" t="s">
        <v>731</v>
      </c>
      <c r="B434" t="s">
        <v>732</v>
      </c>
      <c r="C434" t="s">
        <v>980</v>
      </c>
      <c r="D434" t="s">
        <v>981</v>
      </c>
    </row>
    <row r="435" spans="1:4" x14ac:dyDescent="0.25">
      <c r="A435" s="3" t="s">
        <v>733</v>
      </c>
      <c r="B435" t="s">
        <v>734</v>
      </c>
      <c r="C435" t="s">
        <v>980</v>
      </c>
      <c r="D435" t="s">
        <v>981</v>
      </c>
    </row>
    <row r="436" spans="1:4" x14ac:dyDescent="0.25">
      <c r="A436" s="3" t="s">
        <v>735</v>
      </c>
      <c r="B436" t="s">
        <v>736</v>
      </c>
      <c r="C436" t="s">
        <v>980</v>
      </c>
      <c r="D436" t="s">
        <v>981</v>
      </c>
    </row>
    <row r="437" spans="1:4" x14ac:dyDescent="0.25">
      <c r="A437" s="3" t="s">
        <v>737</v>
      </c>
      <c r="B437" t="s">
        <v>738</v>
      </c>
      <c r="C437" t="s">
        <v>980</v>
      </c>
      <c r="D437" t="s">
        <v>981</v>
      </c>
    </row>
    <row r="438" spans="1:4" x14ac:dyDescent="0.25">
      <c r="A438" s="3" t="s">
        <v>739</v>
      </c>
      <c r="B438" t="s">
        <v>740</v>
      </c>
      <c r="C438" t="s">
        <v>980</v>
      </c>
      <c r="D438" t="s">
        <v>981</v>
      </c>
    </row>
    <row r="439" spans="1:4" x14ac:dyDescent="0.25">
      <c r="A439" s="3" t="s">
        <v>741</v>
      </c>
      <c r="B439" t="s">
        <v>501</v>
      </c>
      <c r="C439" t="s">
        <v>980</v>
      </c>
      <c r="D439" t="s">
        <v>981</v>
      </c>
    </row>
    <row r="440" spans="1:4" x14ac:dyDescent="0.25">
      <c r="A440" s="3" t="s">
        <v>742</v>
      </c>
      <c r="B440" t="s">
        <v>503</v>
      </c>
      <c r="C440" t="s">
        <v>980</v>
      </c>
      <c r="D440" t="s">
        <v>981</v>
      </c>
    </row>
    <row r="441" spans="1:4" x14ac:dyDescent="0.25">
      <c r="A441" s="3" t="s">
        <v>743</v>
      </c>
      <c r="B441" t="s">
        <v>744</v>
      </c>
      <c r="C441" t="s">
        <v>980</v>
      </c>
      <c r="D441" t="s">
        <v>981</v>
      </c>
    </row>
    <row r="442" spans="1:4" x14ac:dyDescent="0.25">
      <c r="A442" s="3" t="s">
        <v>745</v>
      </c>
      <c r="B442" t="s">
        <v>746</v>
      </c>
      <c r="C442" t="s">
        <v>980</v>
      </c>
      <c r="D442" t="s">
        <v>981</v>
      </c>
    </row>
    <row r="443" spans="1:4" x14ac:dyDescent="0.25">
      <c r="A443" s="3" t="s">
        <v>747</v>
      </c>
      <c r="B443" t="s">
        <v>748</v>
      </c>
      <c r="C443" t="s">
        <v>980</v>
      </c>
      <c r="D443" t="s">
        <v>981</v>
      </c>
    </row>
    <row r="444" spans="1:4" x14ac:dyDescent="0.25">
      <c r="A444" s="3" t="s">
        <v>749</v>
      </c>
      <c r="B444" t="s">
        <v>750</v>
      </c>
      <c r="C444" t="s">
        <v>980</v>
      </c>
      <c r="D444" t="s">
        <v>981</v>
      </c>
    </row>
    <row r="445" spans="1:4" x14ac:dyDescent="0.25">
      <c r="A445" s="3" t="s">
        <v>751</v>
      </c>
      <c r="B445" t="s">
        <v>752</v>
      </c>
      <c r="C445" t="s">
        <v>980</v>
      </c>
      <c r="D445" t="s">
        <v>981</v>
      </c>
    </row>
    <row r="446" spans="1:4" x14ac:dyDescent="0.25">
      <c r="A446" s="3" t="s">
        <v>753</v>
      </c>
      <c r="B446" t="s">
        <v>754</v>
      </c>
      <c r="C446" t="s">
        <v>980</v>
      </c>
      <c r="D446" t="s">
        <v>981</v>
      </c>
    </row>
    <row r="447" spans="1:4" x14ac:dyDescent="0.25">
      <c r="A447" s="3" t="s">
        <v>755</v>
      </c>
      <c r="B447" t="s">
        <v>756</v>
      </c>
      <c r="C447" t="s">
        <v>980</v>
      </c>
      <c r="D447" t="s">
        <v>981</v>
      </c>
    </row>
    <row r="448" spans="1:4" x14ac:dyDescent="0.25">
      <c r="A448" s="3" t="s">
        <v>757</v>
      </c>
      <c r="B448" t="s">
        <v>758</v>
      </c>
      <c r="C448" t="s">
        <v>980</v>
      </c>
      <c r="D448" t="s">
        <v>981</v>
      </c>
    </row>
    <row r="449" spans="1:4" x14ac:dyDescent="0.25">
      <c r="A449" s="3" t="s">
        <v>759</v>
      </c>
      <c r="B449" t="s">
        <v>760</v>
      </c>
      <c r="C449" t="s">
        <v>980</v>
      </c>
      <c r="D449" t="s">
        <v>981</v>
      </c>
    </row>
    <row r="450" spans="1:4" x14ac:dyDescent="0.25">
      <c r="A450" s="3" t="s">
        <v>761</v>
      </c>
      <c r="B450" t="s">
        <v>762</v>
      </c>
      <c r="C450" t="s">
        <v>980</v>
      </c>
      <c r="D450" t="s">
        <v>981</v>
      </c>
    </row>
    <row r="451" spans="1:4" x14ac:dyDescent="0.25">
      <c r="A451" s="3" t="s">
        <v>763</v>
      </c>
      <c r="B451" t="s">
        <v>764</v>
      </c>
      <c r="C451" t="s">
        <v>980</v>
      </c>
      <c r="D451" t="s">
        <v>981</v>
      </c>
    </row>
    <row r="452" spans="1:4" x14ac:dyDescent="0.25">
      <c r="A452" s="3" t="s">
        <v>765</v>
      </c>
      <c r="B452" t="s">
        <v>766</v>
      </c>
      <c r="C452" t="s">
        <v>980</v>
      </c>
      <c r="D452" t="s">
        <v>981</v>
      </c>
    </row>
    <row r="453" spans="1:4" x14ac:dyDescent="0.25">
      <c r="A453" s="3" t="s">
        <v>767</v>
      </c>
      <c r="B453" t="s">
        <v>768</v>
      </c>
      <c r="C453" t="s">
        <v>980</v>
      </c>
      <c r="D453" t="s">
        <v>981</v>
      </c>
    </row>
    <row r="454" spans="1:4" x14ac:dyDescent="0.25">
      <c r="A454" s="3" t="s">
        <v>769</v>
      </c>
      <c r="B454" t="s">
        <v>770</v>
      </c>
      <c r="C454" t="s">
        <v>980</v>
      </c>
      <c r="D454" t="s">
        <v>981</v>
      </c>
    </row>
    <row r="455" spans="1:4" x14ac:dyDescent="0.25">
      <c r="A455" s="3" t="s">
        <v>771</v>
      </c>
      <c r="B455" t="s">
        <v>772</v>
      </c>
      <c r="C455" t="s">
        <v>980</v>
      </c>
      <c r="D455" t="s">
        <v>981</v>
      </c>
    </row>
    <row r="456" spans="1:4" x14ac:dyDescent="0.25">
      <c r="A456" s="3" t="s">
        <v>773</v>
      </c>
      <c r="B456" t="s">
        <v>774</v>
      </c>
      <c r="C456" t="s">
        <v>980</v>
      </c>
      <c r="D456" t="s">
        <v>981</v>
      </c>
    </row>
    <row r="457" spans="1:4" x14ac:dyDescent="0.25">
      <c r="A457" s="3" t="s">
        <v>990</v>
      </c>
      <c r="B457" t="s">
        <v>985</v>
      </c>
      <c r="C457" t="s">
        <v>980</v>
      </c>
      <c r="D457" t="s">
        <v>981</v>
      </c>
    </row>
    <row r="458" spans="1:4" x14ac:dyDescent="0.25">
      <c r="A458" s="3" t="s">
        <v>775</v>
      </c>
      <c r="B458" t="s">
        <v>776</v>
      </c>
      <c r="C458" t="s">
        <v>980</v>
      </c>
      <c r="D458" t="s">
        <v>981</v>
      </c>
    </row>
    <row r="459" spans="1:4" x14ac:dyDescent="0.25">
      <c r="A459" s="3" t="s">
        <v>777</v>
      </c>
      <c r="B459" t="s">
        <v>778</v>
      </c>
      <c r="C459" t="s">
        <v>980</v>
      </c>
      <c r="D459" t="s">
        <v>981</v>
      </c>
    </row>
    <row r="460" spans="1:4" x14ac:dyDescent="0.25">
      <c r="A460" s="3" t="s">
        <v>991</v>
      </c>
      <c r="B460" t="s">
        <v>843</v>
      </c>
      <c r="C460" t="s">
        <v>980</v>
      </c>
      <c r="D460" t="s">
        <v>981</v>
      </c>
    </row>
    <row r="461" spans="1:4" x14ac:dyDescent="0.25">
      <c r="A461" s="3" t="s">
        <v>779</v>
      </c>
      <c r="B461" t="s">
        <v>780</v>
      </c>
      <c r="C461" t="s">
        <v>980</v>
      </c>
      <c r="D461" t="s">
        <v>981</v>
      </c>
    </row>
    <row r="462" spans="1:4" x14ac:dyDescent="0.25">
      <c r="A462" s="3" t="s">
        <v>781</v>
      </c>
      <c r="B462" t="s">
        <v>782</v>
      </c>
      <c r="C462" t="s">
        <v>980</v>
      </c>
      <c r="D462" t="s">
        <v>981</v>
      </c>
    </row>
    <row r="463" spans="1:4" x14ac:dyDescent="0.25">
      <c r="A463" s="3" t="s">
        <v>783</v>
      </c>
      <c r="B463" t="s">
        <v>784</v>
      </c>
      <c r="C463" t="s">
        <v>980</v>
      </c>
      <c r="D463" t="s">
        <v>981</v>
      </c>
    </row>
    <row r="464" spans="1:4" x14ac:dyDescent="0.25">
      <c r="A464" s="3" t="s">
        <v>785</v>
      </c>
      <c r="B464" t="s">
        <v>786</v>
      </c>
      <c r="C464" t="s">
        <v>980</v>
      </c>
      <c r="D464" t="s">
        <v>981</v>
      </c>
    </row>
    <row r="465" spans="1:4" x14ac:dyDescent="0.25">
      <c r="A465" s="18" t="s">
        <v>1040</v>
      </c>
      <c r="B465" s="18" t="s">
        <v>1041</v>
      </c>
      <c r="C465" t="s">
        <v>980</v>
      </c>
      <c r="D465" t="s">
        <v>981</v>
      </c>
    </row>
    <row r="466" spans="1:4" x14ac:dyDescent="0.25">
      <c r="A466" s="3" t="s">
        <v>787</v>
      </c>
      <c r="B466" t="s">
        <v>788</v>
      </c>
      <c r="C466" t="s">
        <v>980</v>
      </c>
      <c r="D466" t="s">
        <v>981</v>
      </c>
    </row>
    <row r="467" spans="1:4" x14ac:dyDescent="0.25">
      <c r="A467" s="3" t="s">
        <v>789</v>
      </c>
      <c r="B467" t="s">
        <v>790</v>
      </c>
      <c r="C467" t="s">
        <v>980</v>
      </c>
      <c r="D467" t="s">
        <v>981</v>
      </c>
    </row>
    <row r="468" spans="1:4" x14ac:dyDescent="0.25">
      <c r="A468" s="3" t="s">
        <v>791</v>
      </c>
      <c r="B468" t="s">
        <v>792</v>
      </c>
      <c r="C468" t="s">
        <v>980</v>
      </c>
      <c r="D468" t="s">
        <v>981</v>
      </c>
    </row>
    <row r="469" spans="1:4" x14ac:dyDescent="0.25">
      <c r="A469" s="3" t="s">
        <v>793</v>
      </c>
      <c r="B469" t="s">
        <v>794</v>
      </c>
      <c r="C469" t="s">
        <v>980</v>
      </c>
      <c r="D469" t="s">
        <v>981</v>
      </c>
    </row>
    <row r="470" spans="1:4" x14ac:dyDescent="0.25">
      <c r="A470" s="3" t="s">
        <v>795</v>
      </c>
      <c r="B470" t="s">
        <v>796</v>
      </c>
      <c r="C470" t="s">
        <v>980</v>
      </c>
      <c r="D470" t="s">
        <v>981</v>
      </c>
    </row>
    <row r="471" spans="1:4" x14ac:dyDescent="0.25">
      <c r="A471" t="s">
        <v>1136</v>
      </c>
      <c r="B471" t="s">
        <v>1137</v>
      </c>
      <c r="C471" t="s">
        <v>980</v>
      </c>
      <c r="D471" t="s">
        <v>981</v>
      </c>
    </row>
    <row r="472" spans="1:4" x14ac:dyDescent="0.25">
      <c r="A472" s="3" t="s">
        <v>797</v>
      </c>
      <c r="B472" t="s">
        <v>798</v>
      </c>
      <c r="C472" t="s">
        <v>980</v>
      </c>
      <c r="D472" t="s">
        <v>981</v>
      </c>
    </row>
    <row r="473" spans="1:4" x14ac:dyDescent="0.25">
      <c r="A473" t="s">
        <v>1208</v>
      </c>
      <c r="B473" t="s">
        <v>920</v>
      </c>
      <c r="C473" t="s">
        <v>980</v>
      </c>
      <c r="D473" t="s">
        <v>981</v>
      </c>
    </row>
    <row r="474" spans="1:4" x14ac:dyDescent="0.25">
      <c r="A474" s="3" t="s">
        <v>799</v>
      </c>
      <c r="B474" t="s">
        <v>800</v>
      </c>
      <c r="C474" t="s">
        <v>980</v>
      </c>
      <c r="D474" t="s">
        <v>981</v>
      </c>
    </row>
    <row r="475" spans="1:4" x14ac:dyDescent="0.25">
      <c r="A475" s="3" t="s">
        <v>801</v>
      </c>
      <c r="B475" t="s">
        <v>802</v>
      </c>
      <c r="C475" t="s">
        <v>980</v>
      </c>
      <c r="D475" t="s">
        <v>981</v>
      </c>
    </row>
    <row r="476" spans="1:4" x14ac:dyDescent="0.25">
      <c r="A476" s="3" t="s">
        <v>803</v>
      </c>
      <c r="B476" t="s">
        <v>804</v>
      </c>
      <c r="C476" t="s">
        <v>980</v>
      </c>
      <c r="D476" t="s">
        <v>981</v>
      </c>
    </row>
    <row r="477" spans="1:4" x14ac:dyDescent="0.25">
      <c r="A477" s="3" t="s">
        <v>805</v>
      </c>
      <c r="B477" t="s">
        <v>806</v>
      </c>
      <c r="C477" t="s">
        <v>980</v>
      </c>
      <c r="D477" t="s">
        <v>981</v>
      </c>
    </row>
    <row r="478" spans="1:4" x14ac:dyDescent="0.25">
      <c r="A478" s="3" t="s">
        <v>807</v>
      </c>
      <c r="B478" t="s">
        <v>808</v>
      </c>
      <c r="C478" t="s">
        <v>980</v>
      </c>
      <c r="D478" t="s">
        <v>981</v>
      </c>
    </row>
    <row r="479" spans="1:4" x14ac:dyDescent="0.25">
      <c r="A479" s="3" t="s">
        <v>809</v>
      </c>
      <c r="B479" t="s">
        <v>810</v>
      </c>
      <c r="C479" t="s">
        <v>980</v>
      </c>
      <c r="D479" t="s">
        <v>981</v>
      </c>
    </row>
    <row r="480" spans="1:4" x14ac:dyDescent="0.25">
      <c r="A480" s="3" t="s">
        <v>811</v>
      </c>
      <c r="B480" t="s">
        <v>812</v>
      </c>
      <c r="C480" t="s">
        <v>980</v>
      </c>
      <c r="D480" t="s">
        <v>981</v>
      </c>
    </row>
    <row r="481" spans="1:4" x14ac:dyDescent="0.25">
      <c r="A481" s="3" t="s">
        <v>813</v>
      </c>
      <c r="B481" t="s">
        <v>814</v>
      </c>
      <c r="C481" t="s">
        <v>980</v>
      </c>
      <c r="D481" t="s">
        <v>981</v>
      </c>
    </row>
    <row r="482" spans="1:4" x14ac:dyDescent="0.25">
      <c r="A482" s="3" t="s">
        <v>815</v>
      </c>
      <c r="B482" t="s">
        <v>816</v>
      </c>
      <c r="C482" t="s">
        <v>980</v>
      </c>
      <c r="D482" t="s">
        <v>981</v>
      </c>
    </row>
    <row r="483" spans="1:4" x14ac:dyDescent="0.25">
      <c r="A483" s="3" t="s">
        <v>817</v>
      </c>
      <c r="B483" t="s">
        <v>818</v>
      </c>
      <c r="C483" t="s">
        <v>980</v>
      </c>
      <c r="D483" t="s">
        <v>981</v>
      </c>
    </row>
    <row r="484" spans="1:4" x14ac:dyDescent="0.25">
      <c r="A484" s="3" t="s">
        <v>819</v>
      </c>
      <c r="B484" t="s">
        <v>820</v>
      </c>
      <c r="C484" t="s">
        <v>980</v>
      </c>
      <c r="D484" t="s">
        <v>981</v>
      </c>
    </row>
    <row r="485" spans="1:4" x14ac:dyDescent="0.25">
      <c r="A485" s="3" t="s">
        <v>821</v>
      </c>
      <c r="B485" t="s">
        <v>822</v>
      </c>
      <c r="C485" t="s">
        <v>980</v>
      </c>
      <c r="D485" t="s">
        <v>981</v>
      </c>
    </row>
    <row r="486" spans="1:4" x14ac:dyDescent="0.25">
      <c r="A486" s="3" t="s">
        <v>823</v>
      </c>
      <c r="B486" t="s">
        <v>824</v>
      </c>
      <c r="C486" t="s">
        <v>980</v>
      </c>
      <c r="D486" t="s">
        <v>981</v>
      </c>
    </row>
    <row r="487" spans="1:4" x14ac:dyDescent="0.25">
      <c r="A487" s="3" t="s">
        <v>825</v>
      </c>
      <c r="B487" t="s">
        <v>826</v>
      </c>
      <c r="C487" t="s">
        <v>980</v>
      </c>
      <c r="D487" t="s">
        <v>981</v>
      </c>
    </row>
    <row r="488" spans="1:4" x14ac:dyDescent="0.25">
      <c r="A488" s="3" t="s">
        <v>827</v>
      </c>
      <c r="B488" t="s">
        <v>736</v>
      </c>
      <c r="C488" t="s">
        <v>980</v>
      </c>
      <c r="D488" t="s">
        <v>981</v>
      </c>
    </row>
    <row r="489" spans="1:4" x14ac:dyDescent="0.25">
      <c r="A489" s="3" t="s">
        <v>828</v>
      </c>
      <c r="B489" t="s">
        <v>738</v>
      </c>
      <c r="C489" t="s">
        <v>980</v>
      </c>
      <c r="D489" t="s">
        <v>981</v>
      </c>
    </row>
    <row r="490" spans="1:4" x14ac:dyDescent="0.25">
      <c r="A490" s="3" t="s">
        <v>829</v>
      </c>
      <c r="B490" t="s">
        <v>740</v>
      </c>
      <c r="C490" t="s">
        <v>980</v>
      </c>
      <c r="D490" t="s">
        <v>981</v>
      </c>
    </row>
    <row r="491" spans="1:4" x14ac:dyDescent="0.25">
      <c r="A491" s="3" t="s">
        <v>830</v>
      </c>
      <c r="B491" t="s">
        <v>501</v>
      </c>
      <c r="C491" t="s">
        <v>980</v>
      </c>
      <c r="D491" t="s">
        <v>981</v>
      </c>
    </row>
    <row r="492" spans="1:4" x14ac:dyDescent="0.25">
      <c r="A492" s="3" t="s">
        <v>831</v>
      </c>
      <c r="B492" t="s">
        <v>503</v>
      </c>
      <c r="C492" t="s">
        <v>980</v>
      </c>
      <c r="D492" t="s">
        <v>981</v>
      </c>
    </row>
    <row r="493" spans="1:4" x14ac:dyDescent="0.25">
      <c r="A493" s="3" t="s">
        <v>832</v>
      </c>
      <c r="B493" t="s">
        <v>833</v>
      </c>
      <c r="C493" t="s">
        <v>980</v>
      </c>
      <c r="D493" t="s">
        <v>981</v>
      </c>
    </row>
    <row r="494" spans="1:4" x14ac:dyDescent="0.25">
      <c r="A494" s="3" t="s">
        <v>992</v>
      </c>
      <c r="B494" t="s">
        <v>748</v>
      </c>
      <c r="C494" t="s">
        <v>980</v>
      </c>
      <c r="D494" t="s">
        <v>981</v>
      </c>
    </row>
    <row r="495" spans="1:4" x14ac:dyDescent="0.25">
      <c r="A495" s="3" t="s">
        <v>1006</v>
      </c>
      <c r="B495" t="s">
        <v>1007</v>
      </c>
      <c r="C495" t="s">
        <v>980</v>
      </c>
      <c r="D495" t="s">
        <v>981</v>
      </c>
    </row>
    <row r="496" spans="1:4" x14ac:dyDescent="0.25">
      <c r="A496" s="3" t="s">
        <v>834</v>
      </c>
      <c r="B496" t="s">
        <v>754</v>
      </c>
      <c r="C496" t="s">
        <v>980</v>
      </c>
      <c r="D496" t="s">
        <v>981</v>
      </c>
    </row>
    <row r="497" spans="1:4" x14ac:dyDescent="0.25">
      <c r="A497" s="3" t="s">
        <v>835</v>
      </c>
      <c r="B497" t="s">
        <v>758</v>
      </c>
      <c r="C497" t="s">
        <v>980</v>
      </c>
      <c r="D497" t="s">
        <v>981</v>
      </c>
    </row>
    <row r="498" spans="1:4" x14ac:dyDescent="0.25">
      <c r="A498" s="3" t="s">
        <v>836</v>
      </c>
      <c r="B498" t="s">
        <v>837</v>
      </c>
      <c r="C498" t="s">
        <v>980</v>
      </c>
      <c r="D498" t="s">
        <v>981</v>
      </c>
    </row>
    <row r="499" spans="1:4" x14ac:dyDescent="0.25">
      <c r="A499" s="3" t="s">
        <v>838</v>
      </c>
      <c r="B499" t="s">
        <v>764</v>
      </c>
      <c r="C499" t="s">
        <v>980</v>
      </c>
      <c r="D499" t="s">
        <v>981</v>
      </c>
    </row>
    <row r="500" spans="1:4" x14ac:dyDescent="0.25">
      <c r="A500" s="3" t="s">
        <v>1008</v>
      </c>
      <c r="B500" t="s">
        <v>774</v>
      </c>
      <c r="C500" t="s">
        <v>980</v>
      </c>
      <c r="D500" t="s">
        <v>981</v>
      </c>
    </row>
    <row r="501" spans="1:4" x14ac:dyDescent="0.25">
      <c r="A501" s="18" t="s">
        <v>1115</v>
      </c>
      <c r="B501" s="18" t="s">
        <v>768</v>
      </c>
      <c r="C501" t="s">
        <v>980</v>
      </c>
      <c r="D501" t="s">
        <v>981</v>
      </c>
    </row>
    <row r="502" spans="1:4" x14ac:dyDescent="0.25">
      <c r="A502" s="3" t="s">
        <v>839</v>
      </c>
      <c r="B502" t="s">
        <v>776</v>
      </c>
      <c r="C502" t="s">
        <v>980</v>
      </c>
      <c r="D502" t="s">
        <v>981</v>
      </c>
    </row>
    <row r="503" spans="1:4" x14ac:dyDescent="0.25">
      <c r="A503" s="3" t="s">
        <v>840</v>
      </c>
      <c r="B503" t="s">
        <v>841</v>
      </c>
      <c r="C503" t="s">
        <v>980</v>
      </c>
      <c r="D503" t="s">
        <v>981</v>
      </c>
    </row>
    <row r="504" spans="1:4" x14ac:dyDescent="0.25">
      <c r="A504" s="3" t="s">
        <v>842</v>
      </c>
      <c r="B504" t="s">
        <v>843</v>
      </c>
      <c r="C504" t="s">
        <v>980</v>
      </c>
      <c r="D504" t="s">
        <v>981</v>
      </c>
    </row>
    <row r="505" spans="1:4" x14ac:dyDescent="0.25">
      <c r="A505" s="18" t="s">
        <v>1056</v>
      </c>
      <c r="B505" s="18" t="s">
        <v>780</v>
      </c>
      <c r="C505" t="s">
        <v>980</v>
      </c>
      <c r="D505" t="s">
        <v>981</v>
      </c>
    </row>
    <row r="506" spans="1:4" x14ac:dyDescent="0.25">
      <c r="A506" s="3" t="s">
        <v>844</v>
      </c>
      <c r="B506" t="s">
        <v>782</v>
      </c>
      <c r="C506" t="s">
        <v>980</v>
      </c>
      <c r="D506" t="s">
        <v>981</v>
      </c>
    </row>
    <row r="507" spans="1:4" x14ac:dyDescent="0.25">
      <c r="A507" s="3" t="s">
        <v>845</v>
      </c>
      <c r="B507" t="s">
        <v>790</v>
      </c>
      <c r="C507" t="s">
        <v>980</v>
      </c>
      <c r="D507" t="s">
        <v>981</v>
      </c>
    </row>
    <row r="508" spans="1:4" x14ac:dyDescent="0.25">
      <c r="A508" s="18" t="s">
        <v>1094</v>
      </c>
      <c r="B508" s="18" t="s">
        <v>792</v>
      </c>
      <c r="C508" t="s">
        <v>980</v>
      </c>
      <c r="D508" t="s">
        <v>981</v>
      </c>
    </row>
    <row r="509" spans="1:4" x14ac:dyDescent="0.25">
      <c r="A509" s="3" t="s">
        <v>846</v>
      </c>
      <c r="B509" t="s">
        <v>794</v>
      </c>
      <c r="C509" t="s">
        <v>980</v>
      </c>
      <c r="D509" t="s">
        <v>981</v>
      </c>
    </row>
    <row r="510" spans="1:4" x14ac:dyDescent="0.25">
      <c r="A510" s="3" t="s">
        <v>847</v>
      </c>
      <c r="B510" t="s">
        <v>848</v>
      </c>
      <c r="C510" t="s">
        <v>980</v>
      </c>
      <c r="D510" t="s">
        <v>981</v>
      </c>
    </row>
    <row r="511" spans="1:4" x14ac:dyDescent="0.25">
      <c r="A511" s="18" t="s">
        <v>1088</v>
      </c>
      <c r="B511" s="18" t="s">
        <v>1089</v>
      </c>
      <c r="C511" t="s">
        <v>980</v>
      </c>
      <c r="D511" t="s">
        <v>981</v>
      </c>
    </row>
    <row r="512" spans="1:4" x14ac:dyDescent="0.25">
      <c r="A512" s="3" t="s">
        <v>849</v>
      </c>
      <c r="B512" t="s">
        <v>804</v>
      </c>
      <c r="C512" t="s">
        <v>980</v>
      </c>
      <c r="D512" t="s">
        <v>981</v>
      </c>
    </row>
    <row r="513" spans="1:4" x14ac:dyDescent="0.25">
      <c r="A513" s="3" t="s">
        <v>850</v>
      </c>
      <c r="B513" t="s">
        <v>808</v>
      </c>
      <c r="C513" t="s">
        <v>980</v>
      </c>
      <c r="D513" t="s">
        <v>981</v>
      </c>
    </row>
    <row r="514" spans="1:4" x14ac:dyDescent="0.25">
      <c r="A514" s="3" t="s">
        <v>851</v>
      </c>
      <c r="B514" t="s">
        <v>852</v>
      </c>
      <c r="C514" t="s">
        <v>980</v>
      </c>
      <c r="D514" t="s">
        <v>981</v>
      </c>
    </row>
    <row r="515" spans="1:4" x14ac:dyDescent="0.25">
      <c r="A515" s="3" t="s">
        <v>853</v>
      </c>
      <c r="B515" t="s">
        <v>812</v>
      </c>
      <c r="C515" t="s">
        <v>980</v>
      </c>
      <c r="D515" t="s">
        <v>981</v>
      </c>
    </row>
    <row r="516" spans="1:4" x14ac:dyDescent="0.25">
      <c r="A516" s="3" t="s">
        <v>854</v>
      </c>
      <c r="B516" t="s">
        <v>814</v>
      </c>
      <c r="C516" t="s">
        <v>980</v>
      </c>
      <c r="D516" t="s">
        <v>981</v>
      </c>
    </row>
    <row r="517" spans="1:4" x14ac:dyDescent="0.25">
      <c r="A517" s="3" t="s">
        <v>855</v>
      </c>
      <c r="B517" t="s">
        <v>816</v>
      </c>
      <c r="C517" t="s">
        <v>980</v>
      </c>
      <c r="D517" t="s">
        <v>981</v>
      </c>
    </row>
    <row r="518" spans="1:4" x14ac:dyDescent="0.25">
      <c r="A518" s="3" t="s">
        <v>856</v>
      </c>
      <c r="B518" t="s">
        <v>857</v>
      </c>
      <c r="C518" t="s">
        <v>980</v>
      </c>
      <c r="D518" t="s">
        <v>981</v>
      </c>
    </row>
    <row r="519" spans="1:4" x14ac:dyDescent="0.25">
      <c r="A519" s="3" t="s">
        <v>858</v>
      </c>
      <c r="B519" t="s">
        <v>820</v>
      </c>
      <c r="C519" t="s">
        <v>980</v>
      </c>
      <c r="D519" t="s">
        <v>981</v>
      </c>
    </row>
    <row r="520" spans="1:4" x14ac:dyDescent="0.25">
      <c r="A520" s="3" t="s">
        <v>859</v>
      </c>
      <c r="B520" t="s">
        <v>860</v>
      </c>
      <c r="C520" t="s">
        <v>980</v>
      </c>
      <c r="D520" t="s">
        <v>981</v>
      </c>
    </row>
    <row r="521" spans="1:4" x14ac:dyDescent="0.25">
      <c r="A521" s="3" t="s">
        <v>861</v>
      </c>
      <c r="B521" t="s">
        <v>862</v>
      </c>
      <c r="C521" t="s">
        <v>980</v>
      </c>
      <c r="D521" t="s">
        <v>981</v>
      </c>
    </row>
    <row r="522" spans="1:4" x14ac:dyDescent="0.25">
      <c r="A522" s="3" t="s">
        <v>863</v>
      </c>
      <c r="B522" t="s">
        <v>864</v>
      </c>
      <c r="C522" t="s">
        <v>980</v>
      </c>
      <c r="D522" t="s">
        <v>981</v>
      </c>
    </row>
    <row r="523" spans="1:4" x14ac:dyDescent="0.25">
      <c r="A523" t="s">
        <v>1176</v>
      </c>
      <c r="B523" t="s">
        <v>1177</v>
      </c>
      <c r="C523" t="s">
        <v>980</v>
      </c>
      <c r="D523" t="s">
        <v>981</v>
      </c>
    </row>
    <row r="524" spans="1:4" x14ac:dyDescent="0.25">
      <c r="A524" s="18" t="s">
        <v>1057</v>
      </c>
      <c r="B524" s="18" t="s">
        <v>1058</v>
      </c>
      <c r="C524" t="s">
        <v>980</v>
      </c>
      <c r="D524" t="s">
        <v>981</v>
      </c>
    </row>
    <row r="525" spans="1:4" x14ac:dyDescent="0.25">
      <c r="A525" s="3" t="s">
        <v>865</v>
      </c>
      <c r="B525" t="s">
        <v>866</v>
      </c>
      <c r="C525" t="s">
        <v>980</v>
      </c>
      <c r="D525" t="s">
        <v>981</v>
      </c>
    </row>
    <row r="526" spans="1:4" x14ac:dyDescent="0.25">
      <c r="A526" s="3" t="s">
        <v>867</v>
      </c>
      <c r="B526" t="s">
        <v>736</v>
      </c>
      <c r="C526" t="s">
        <v>980</v>
      </c>
      <c r="D526" t="s">
        <v>981</v>
      </c>
    </row>
    <row r="527" spans="1:4" x14ac:dyDescent="0.25">
      <c r="A527" s="3" t="s">
        <v>868</v>
      </c>
      <c r="B527" t="s">
        <v>738</v>
      </c>
      <c r="C527" t="s">
        <v>980</v>
      </c>
      <c r="D527" t="s">
        <v>981</v>
      </c>
    </row>
    <row r="528" spans="1:4" x14ac:dyDescent="0.25">
      <c r="A528" s="3" t="s">
        <v>869</v>
      </c>
      <c r="B528" t="s">
        <v>740</v>
      </c>
      <c r="C528" t="s">
        <v>980</v>
      </c>
      <c r="D528" t="s">
        <v>981</v>
      </c>
    </row>
    <row r="529" spans="1:4" x14ac:dyDescent="0.25">
      <c r="A529" s="3" t="s">
        <v>870</v>
      </c>
      <c r="B529" t="s">
        <v>871</v>
      </c>
      <c r="C529" t="s">
        <v>980</v>
      </c>
      <c r="D529" t="s">
        <v>981</v>
      </c>
    </row>
    <row r="530" spans="1:4" x14ac:dyDescent="0.25">
      <c r="A530" s="3" t="s">
        <v>872</v>
      </c>
      <c r="B530" t="s">
        <v>501</v>
      </c>
      <c r="C530" t="s">
        <v>980</v>
      </c>
      <c r="D530" t="s">
        <v>981</v>
      </c>
    </row>
    <row r="531" spans="1:4" x14ac:dyDescent="0.25">
      <c r="A531" s="3" t="s">
        <v>873</v>
      </c>
      <c r="B531" t="s">
        <v>503</v>
      </c>
      <c r="C531" t="s">
        <v>980</v>
      </c>
      <c r="D531" t="s">
        <v>981</v>
      </c>
    </row>
    <row r="532" spans="1:4" x14ac:dyDescent="0.25">
      <c r="A532" s="3" t="s">
        <v>874</v>
      </c>
      <c r="B532" t="s">
        <v>875</v>
      </c>
      <c r="C532" t="s">
        <v>980</v>
      </c>
      <c r="D532" t="s">
        <v>981</v>
      </c>
    </row>
    <row r="533" spans="1:4" x14ac:dyDescent="0.25">
      <c r="A533" s="3" t="s">
        <v>876</v>
      </c>
      <c r="B533" t="s">
        <v>744</v>
      </c>
      <c r="C533" t="s">
        <v>980</v>
      </c>
      <c r="D533" t="s">
        <v>981</v>
      </c>
    </row>
    <row r="534" spans="1:4" x14ac:dyDescent="0.25">
      <c r="A534" s="3" t="s">
        <v>877</v>
      </c>
      <c r="B534" t="s">
        <v>878</v>
      </c>
      <c r="C534" t="s">
        <v>980</v>
      </c>
      <c r="D534" t="s">
        <v>981</v>
      </c>
    </row>
    <row r="535" spans="1:4" x14ac:dyDescent="0.25">
      <c r="A535" s="3" t="s">
        <v>879</v>
      </c>
      <c r="B535" t="s">
        <v>880</v>
      </c>
      <c r="C535" t="s">
        <v>980</v>
      </c>
      <c r="D535" t="s">
        <v>981</v>
      </c>
    </row>
    <row r="536" spans="1:4" x14ac:dyDescent="0.25">
      <c r="A536" s="3" t="s">
        <v>881</v>
      </c>
      <c r="B536" t="s">
        <v>882</v>
      </c>
      <c r="C536" t="s">
        <v>980</v>
      </c>
      <c r="D536" t="s">
        <v>981</v>
      </c>
    </row>
    <row r="537" spans="1:4" x14ac:dyDescent="0.25">
      <c r="A537" s="3" t="s">
        <v>883</v>
      </c>
      <c r="B537" t="s">
        <v>746</v>
      </c>
      <c r="C537" t="s">
        <v>980</v>
      </c>
      <c r="D537" t="s">
        <v>981</v>
      </c>
    </row>
    <row r="538" spans="1:4" x14ac:dyDescent="0.25">
      <c r="A538" s="3" t="s">
        <v>884</v>
      </c>
      <c r="B538" t="s">
        <v>748</v>
      </c>
      <c r="C538" t="s">
        <v>980</v>
      </c>
      <c r="D538" t="s">
        <v>981</v>
      </c>
    </row>
    <row r="539" spans="1:4" x14ac:dyDescent="0.25">
      <c r="A539" s="3" t="s">
        <v>885</v>
      </c>
      <c r="B539" t="s">
        <v>750</v>
      </c>
      <c r="C539" t="s">
        <v>980</v>
      </c>
      <c r="D539" t="s">
        <v>981</v>
      </c>
    </row>
    <row r="540" spans="1:4" x14ac:dyDescent="0.25">
      <c r="A540" s="3" t="s">
        <v>886</v>
      </c>
      <c r="B540" t="s">
        <v>887</v>
      </c>
      <c r="C540" t="s">
        <v>980</v>
      </c>
      <c r="D540" t="s">
        <v>981</v>
      </c>
    </row>
    <row r="541" spans="1:4" x14ac:dyDescent="0.25">
      <c r="A541" s="3" t="s">
        <v>888</v>
      </c>
      <c r="B541" t="s">
        <v>754</v>
      </c>
      <c r="C541" t="s">
        <v>980</v>
      </c>
      <c r="D541" t="s">
        <v>981</v>
      </c>
    </row>
    <row r="542" spans="1:4" x14ac:dyDescent="0.25">
      <c r="A542" s="3" t="s">
        <v>889</v>
      </c>
      <c r="B542" t="s">
        <v>756</v>
      </c>
      <c r="C542" t="s">
        <v>980</v>
      </c>
      <c r="D542" t="s">
        <v>981</v>
      </c>
    </row>
    <row r="543" spans="1:4" x14ac:dyDescent="0.25">
      <c r="A543" s="3" t="s">
        <v>890</v>
      </c>
      <c r="B543" t="s">
        <v>758</v>
      </c>
      <c r="C543" t="s">
        <v>980</v>
      </c>
      <c r="D543" t="s">
        <v>981</v>
      </c>
    </row>
    <row r="544" spans="1:4" x14ac:dyDescent="0.25">
      <c r="A544" s="3" t="s">
        <v>891</v>
      </c>
      <c r="B544" t="s">
        <v>762</v>
      </c>
      <c r="C544" t="s">
        <v>980</v>
      </c>
      <c r="D544" t="s">
        <v>981</v>
      </c>
    </row>
    <row r="545" spans="1:4" x14ac:dyDescent="0.25">
      <c r="A545" s="3" t="s">
        <v>892</v>
      </c>
      <c r="B545" t="s">
        <v>893</v>
      </c>
      <c r="C545" t="s">
        <v>980</v>
      </c>
      <c r="D545" t="s">
        <v>981</v>
      </c>
    </row>
    <row r="546" spans="1:4" x14ac:dyDescent="0.25">
      <c r="A546" s="3" t="s">
        <v>894</v>
      </c>
      <c r="B546" t="s">
        <v>764</v>
      </c>
      <c r="C546" t="s">
        <v>980</v>
      </c>
      <c r="D546" t="s">
        <v>981</v>
      </c>
    </row>
    <row r="547" spans="1:4" x14ac:dyDescent="0.25">
      <c r="A547" s="3" t="s">
        <v>895</v>
      </c>
      <c r="B547" t="s">
        <v>766</v>
      </c>
      <c r="C547" t="s">
        <v>980</v>
      </c>
      <c r="D547" t="s">
        <v>981</v>
      </c>
    </row>
    <row r="548" spans="1:4" x14ac:dyDescent="0.25">
      <c r="A548" s="3" t="s">
        <v>896</v>
      </c>
      <c r="B548" t="s">
        <v>768</v>
      </c>
      <c r="C548" t="s">
        <v>980</v>
      </c>
      <c r="D548" t="s">
        <v>981</v>
      </c>
    </row>
    <row r="549" spans="1:4" x14ac:dyDescent="0.25">
      <c r="A549" s="3" t="s">
        <v>897</v>
      </c>
      <c r="B549" t="s">
        <v>770</v>
      </c>
      <c r="C549" t="s">
        <v>980</v>
      </c>
      <c r="D549" t="s">
        <v>981</v>
      </c>
    </row>
    <row r="550" spans="1:4" x14ac:dyDescent="0.25">
      <c r="A550" s="3" t="s">
        <v>898</v>
      </c>
      <c r="B550" t="s">
        <v>772</v>
      </c>
      <c r="C550" t="s">
        <v>980</v>
      </c>
      <c r="D550" t="s">
        <v>981</v>
      </c>
    </row>
    <row r="551" spans="1:4" x14ac:dyDescent="0.25">
      <c r="A551" s="3" t="s">
        <v>899</v>
      </c>
      <c r="B551" t="s">
        <v>900</v>
      </c>
      <c r="C551" t="s">
        <v>980</v>
      </c>
      <c r="D551" t="s">
        <v>981</v>
      </c>
    </row>
    <row r="552" spans="1:4" x14ac:dyDescent="0.25">
      <c r="A552" s="3" t="s">
        <v>901</v>
      </c>
      <c r="B552" t="s">
        <v>902</v>
      </c>
      <c r="C552" t="s">
        <v>980</v>
      </c>
      <c r="D552" t="s">
        <v>981</v>
      </c>
    </row>
    <row r="553" spans="1:4" x14ac:dyDescent="0.25">
      <c r="A553" s="3" t="s">
        <v>903</v>
      </c>
      <c r="B553" t="s">
        <v>774</v>
      </c>
      <c r="C553" t="s">
        <v>980</v>
      </c>
      <c r="D553" t="s">
        <v>981</v>
      </c>
    </row>
    <row r="554" spans="1:4" x14ac:dyDescent="0.25">
      <c r="A554" s="3" t="s">
        <v>904</v>
      </c>
      <c r="B554" t="s">
        <v>905</v>
      </c>
      <c r="C554" t="s">
        <v>980</v>
      </c>
      <c r="D554" t="s">
        <v>981</v>
      </c>
    </row>
    <row r="555" spans="1:4" x14ac:dyDescent="0.25">
      <c r="A555" s="3" t="s">
        <v>993</v>
      </c>
      <c r="B555" t="s">
        <v>985</v>
      </c>
      <c r="C555" t="s">
        <v>980</v>
      </c>
      <c r="D555" t="s">
        <v>981</v>
      </c>
    </row>
    <row r="556" spans="1:4" x14ac:dyDescent="0.25">
      <c r="A556" s="3" t="s">
        <v>906</v>
      </c>
      <c r="B556" t="s">
        <v>907</v>
      </c>
      <c r="C556" t="s">
        <v>980</v>
      </c>
      <c r="D556" t="s">
        <v>981</v>
      </c>
    </row>
    <row r="557" spans="1:4" x14ac:dyDescent="0.25">
      <c r="A557" s="3" t="s">
        <v>908</v>
      </c>
      <c r="B557" t="s">
        <v>776</v>
      </c>
      <c r="C557" t="s">
        <v>980</v>
      </c>
      <c r="D557" t="s">
        <v>981</v>
      </c>
    </row>
    <row r="558" spans="1:4" x14ac:dyDescent="0.25">
      <c r="A558" s="3" t="s">
        <v>909</v>
      </c>
      <c r="B558" t="s">
        <v>778</v>
      </c>
      <c r="C558" t="s">
        <v>980</v>
      </c>
      <c r="D558" t="s">
        <v>981</v>
      </c>
    </row>
    <row r="559" spans="1:4" x14ac:dyDescent="0.25">
      <c r="A559" s="3" t="s">
        <v>910</v>
      </c>
      <c r="B559" t="s">
        <v>911</v>
      </c>
      <c r="C559" t="s">
        <v>980</v>
      </c>
      <c r="D559" t="s">
        <v>981</v>
      </c>
    </row>
    <row r="560" spans="1:4" x14ac:dyDescent="0.25">
      <c r="A560" s="3" t="s">
        <v>912</v>
      </c>
      <c r="B560" t="s">
        <v>843</v>
      </c>
      <c r="C560" t="s">
        <v>980</v>
      </c>
      <c r="D560" t="s">
        <v>981</v>
      </c>
    </row>
    <row r="561" spans="1:4" x14ac:dyDescent="0.25">
      <c r="A561" s="18" t="s">
        <v>1116</v>
      </c>
      <c r="B561" s="18" t="s">
        <v>780</v>
      </c>
      <c r="C561" t="s">
        <v>980</v>
      </c>
      <c r="D561" t="s">
        <v>981</v>
      </c>
    </row>
    <row r="562" spans="1:4" x14ac:dyDescent="0.25">
      <c r="A562" s="3" t="s">
        <v>913</v>
      </c>
      <c r="B562" t="s">
        <v>790</v>
      </c>
      <c r="C562" t="s">
        <v>980</v>
      </c>
      <c r="D562" t="s">
        <v>981</v>
      </c>
    </row>
    <row r="563" spans="1:4" x14ac:dyDescent="0.25">
      <c r="A563" s="3" t="s">
        <v>914</v>
      </c>
      <c r="B563" t="s">
        <v>792</v>
      </c>
      <c r="C563" t="s">
        <v>980</v>
      </c>
      <c r="D563" t="s">
        <v>981</v>
      </c>
    </row>
    <row r="564" spans="1:4" x14ac:dyDescent="0.25">
      <c r="A564" s="3" t="s">
        <v>915</v>
      </c>
      <c r="B564" t="s">
        <v>794</v>
      </c>
      <c r="C564" t="s">
        <v>980</v>
      </c>
      <c r="D564" t="s">
        <v>981</v>
      </c>
    </row>
    <row r="565" spans="1:4" x14ac:dyDescent="0.25">
      <c r="A565" s="3" t="s">
        <v>916</v>
      </c>
      <c r="B565" t="s">
        <v>917</v>
      </c>
      <c r="C565" t="s">
        <v>980</v>
      </c>
      <c r="D565" t="s">
        <v>981</v>
      </c>
    </row>
    <row r="566" spans="1:4" x14ac:dyDescent="0.25">
      <c r="A566" s="3" t="s">
        <v>918</v>
      </c>
      <c r="B566" t="s">
        <v>798</v>
      </c>
      <c r="C566" t="s">
        <v>980</v>
      </c>
      <c r="D566" t="s">
        <v>981</v>
      </c>
    </row>
    <row r="567" spans="1:4" x14ac:dyDescent="0.25">
      <c r="A567" s="3" t="s">
        <v>919</v>
      </c>
      <c r="B567" t="s">
        <v>920</v>
      </c>
      <c r="C567" t="s">
        <v>980</v>
      </c>
      <c r="D567" t="s">
        <v>981</v>
      </c>
    </row>
    <row r="568" spans="1:4" x14ac:dyDescent="0.25">
      <c r="A568" s="3" t="s">
        <v>921</v>
      </c>
      <c r="B568" t="s">
        <v>802</v>
      </c>
      <c r="C568" t="s">
        <v>980</v>
      </c>
      <c r="D568" t="s">
        <v>981</v>
      </c>
    </row>
    <row r="569" spans="1:4" x14ac:dyDescent="0.25">
      <c r="A569" s="3" t="s">
        <v>922</v>
      </c>
      <c r="B569" t="s">
        <v>804</v>
      </c>
      <c r="C569" t="s">
        <v>980</v>
      </c>
      <c r="D569" t="s">
        <v>981</v>
      </c>
    </row>
    <row r="570" spans="1:4" x14ac:dyDescent="0.25">
      <c r="A570" s="3" t="s">
        <v>923</v>
      </c>
      <c r="B570" t="s">
        <v>806</v>
      </c>
      <c r="C570" t="s">
        <v>980</v>
      </c>
      <c r="D570" t="s">
        <v>981</v>
      </c>
    </row>
    <row r="571" spans="1:4" x14ac:dyDescent="0.25">
      <c r="A571" s="3" t="s">
        <v>924</v>
      </c>
      <c r="B571" t="s">
        <v>808</v>
      </c>
      <c r="C571" t="s">
        <v>980</v>
      </c>
      <c r="D571" t="s">
        <v>981</v>
      </c>
    </row>
    <row r="572" spans="1:4" x14ac:dyDescent="0.25">
      <c r="A572" s="3" t="s">
        <v>925</v>
      </c>
      <c r="B572" t="s">
        <v>810</v>
      </c>
      <c r="C572" t="s">
        <v>980</v>
      </c>
      <c r="D572" t="s">
        <v>981</v>
      </c>
    </row>
    <row r="573" spans="1:4" x14ac:dyDescent="0.25">
      <c r="A573" s="3" t="s">
        <v>926</v>
      </c>
      <c r="B573" t="s">
        <v>812</v>
      </c>
      <c r="C573" t="s">
        <v>980</v>
      </c>
      <c r="D573" t="s">
        <v>981</v>
      </c>
    </row>
    <row r="574" spans="1:4" x14ac:dyDescent="0.25">
      <c r="A574" s="3" t="s">
        <v>927</v>
      </c>
      <c r="B574" t="s">
        <v>814</v>
      </c>
      <c r="C574" t="s">
        <v>980</v>
      </c>
      <c r="D574" t="s">
        <v>981</v>
      </c>
    </row>
    <row r="575" spans="1:4" x14ac:dyDescent="0.25">
      <c r="A575" s="3" t="s">
        <v>928</v>
      </c>
      <c r="B575" t="s">
        <v>816</v>
      </c>
      <c r="C575" t="s">
        <v>980</v>
      </c>
      <c r="D575" t="s">
        <v>981</v>
      </c>
    </row>
    <row r="576" spans="1:4" x14ac:dyDescent="0.25">
      <c r="A576" s="3" t="s">
        <v>929</v>
      </c>
      <c r="B576" t="s">
        <v>930</v>
      </c>
      <c r="C576" t="s">
        <v>980</v>
      </c>
      <c r="D576" t="s">
        <v>981</v>
      </c>
    </row>
    <row r="577" spans="1:4" x14ac:dyDescent="0.25">
      <c r="A577" s="3" t="s">
        <v>931</v>
      </c>
      <c r="B577" t="s">
        <v>932</v>
      </c>
      <c r="C577" t="s">
        <v>980</v>
      </c>
      <c r="D577" t="s">
        <v>981</v>
      </c>
    </row>
    <row r="578" spans="1:4" x14ac:dyDescent="0.25">
      <c r="A578" s="3" t="s">
        <v>994</v>
      </c>
      <c r="B578" t="s">
        <v>995</v>
      </c>
      <c r="C578" t="s">
        <v>980</v>
      </c>
      <c r="D578" t="s">
        <v>981</v>
      </c>
    </row>
    <row r="579" spans="1:4" x14ac:dyDescent="0.25">
      <c r="A579" s="3" t="s">
        <v>933</v>
      </c>
      <c r="B579" t="s">
        <v>934</v>
      </c>
      <c r="C579" t="s">
        <v>980</v>
      </c>
      <c r="D579" t="s">
        <v>981</v>
      </c>
    </row>
    <row r="580" spans="1:4" x14ac:dyDescent="0.25">
      <c r="A580" s="3" t="s">
        <v>935</v>
      </c>
      <c r="B580" t="s">
        <v>820</v>
      </c>
      <c r="C580" t="s">
        <v>980</v>
      </c>
      <c r="D580" t="s">
        <v>981</v>
      </c>
    </row>
    <row r="581" spans="1:4" x14ac:dyDescent="0.25">
      <c r="A581" s="18" t="s">
        <v>1117</v>
      </c>
      <c r="B581" s="18" t="s">
        <v>1118</v>
      </c>
      <c r="C581" t="s">
        <v>980</v>
      </c>
      <c r="D581" t="s">
        <v>981</v>
      </c>
    </row>
    <row r="582" spans="1:4" x14ac:dyDescent="0.25">
      <c r="A582" t="s">
        <v>1153</v>
      </c>
      <c r="B582" t="s">
        <v>1154</v>
      </c>
      <c r="C582" t="s">
        <v>980</v>
      </c>
      <c r="D582" t="s">
        <v>981</v>
      </c>
    </row>
    <row r="583" spans="1:4" x14ac:dyDescent="0.25">
      <c r="A583" s="3" t="s">
        <v>1030</v>
      </c>
      <c r="B583" t="s">
        <v>1031</v>
      </c>
      <c r="C583" t="s">
        <v>980</v>
      </c>
      <c r="D583" t="s">
        <v>981</v>
      </c>
    </row>
    <row r="584" spans="1:4" x14ac:dyDescent="0.25">
      <c r="A584" s="3" t="s">
        <v>936</v>
      </c>
      <c r="B584" t="s">
        <v>937</v>
      </c>
      <c r="C584" t="s">
        <v>980</v>
      </c>
      <c r="D584" t="s">
        <v>981</v>
      </c>
    </row>
    <row r="585" spans="1:4" x14ac:dyDescent="0.25">
      <c r="A585" t="s">
        <v>1157</v>
      </c>
      <c r="B585" t="s">
        <v>1158</v>
      </c>
      <c r="C585" t="s">
        <v>980</v>
      </c>
      <c r="D585" t="s">
        <v>981</v>
      </c>
    </row>
    <row r="586" spans="1:4" x14ac:dyDescent="0.25">
      <c r="A586" s="3" t="s">
        <v>938</v>
      </c>
      <c r="B586" t="s">
        <v>824</v>
      </c>
      <c r="C586" t="s">
        <v>980</v>
      </c>
      <c r="D586" t="s">
        <v>981</v>
      </c>
    </row>
    <row r="587" spans="1:4" x14ac:dyDescent="0.25">
      <c r="A587" t="s">
        <v>1159</v>
      </c>
      <c r="B587" t="s">
        <v>1160</v>
      </c>
      <c r="C587" t="s">
        <v>980</v>
      </c>
      <c r="D587" t="s">
        <v>981</v>
      </c>
    </row>
    <row r="588" spans="1:4" x14ac:dyDescent="0.25">
      <c r="A588" s="3" t="s">
        <v>939</v>
      </c>
      <c r="B588" t="s">
        <v>940</v>
      </c>
      <c r="C588" t="s">
        <v>980</v>
      </c>
      <c r="D588" t="s">
        <v>981</v>
      </c>
    </row>
    <row r="589" spans="1:4" x14ac:dyDescent="0.25">
      <c r="A589" t="s">
        <v>1178</v>
      </c>
      <c r="B589" t="s">
        <v>1179</v>
      </c>
      <c r="C589" t="s">
        <v>980</v>
      </c>
      <c r="D589" t="s">
        <v>981</v>
      </c>
    </row>
    <row r="590" spans="1:4" x14ac:dyDescent="0.25">
      <c r="A590" s="3" t="s">
        <v>941</v>
      </c>
      <c r="B590" t="s">
        <v>942</v>
      </c>
      <c r="C590" t="s">
        <v>980</v>
      </c>
      <c r="D590" t="s">
        <v>981</v>
      </c>
    </row>
    <row r="591" spans="1:4" x14ac:dyDescent="0.25">
      <c r="A591" s="3" t="s">
        <v>943</v>
      </c>
      <c r="B591" t="s">
        <v>944</v>
      </c>
      <c r="C591" t="s">
        <v>980</v>
      </c>
      <c r="D591" t="s">
        <v>981</v>
      </c>
    </row>
    <row r="592" spans="1:4" x14ac:dyDescent="0.25">
      <c r="A592" s="3" t="s">
        <v>945</v>
      </c>
      <c r="B592" t="s">
        <v>946</v>
      </c>
      <c r="C592" t="s">
        <v>980</v>
      </c>
      <c r="D592" t="s">
        <v>981</v>
      </c>
    </row>
    <row r="593" spans="1:4" x14ac:dyDescent="0.25">
      <c r="A593" s="3" t="s">
        <v>947</v>
      </c>
      <c r="B593" t="s">
        <v>948</v>
      </c>
      <c r="C593" t="s">
        <v>980</v>
      </c>
      <c r="D593" t="s">
        <v>981</v>
      </c>
    </row>
    <row r="594" spans="1:4" x14ac:dyDescent="0.25">
      <c r="A594" s="3" t="s">
        <v>949</v>
      </c>
      <c r="B594" t="s">
        <v>950</v>
      </c>
      <c r="C594" t="s">
        <v>980</v>
      </c>
      <c r="D594" t="s">
        <v>981</v>
      </c>
    </row>
    <row r="595" spans="1:4" x14ac:dyDescent="0.25">
      <c r="A595" s="3" t="s">
        <v>951</v>
      </c>
      <c r="B595" t="s">
        <v>952</v>
      </c>
      <c r="C595" t="s">
        <v>980</v>
      </c>
      <c r="D595" t="s">
        <v>981</v>
      </c>
    </row>
    <row r="596" spans="1:4" x14ac:dyDescent="0.25">
      <c r="A596" s="3" t="s">
        <v>953</v>
      </c>
      <c r="B596" t="s">
        <v>954</v>
      </c>
      <c r="C596" t="s">
        <v>980</v>
      </c>
      <c r="D596" t="s">
        <v>981</v>
      </c>
    </row>
    <row r="597" spans="1:4" x14ac:dyDescent="0.25">
      <c r="A597" s="18" t="s">
        <v>1095</v>
      </c>
      <c r="B597" s="18" t="s">
        <v>1096</v>
      </c>
      <c r="C597" t="s">
        <v>980</v>
      </c>
      <c r="D597" t="s">
        <v>981</v>
      </c>
    </row>
    <row r="598" spans="1:4" x14ac:dyDescent="0.25">
      <c r="A598" s="18" t="s">
        <v>1119</v>
      </c>
      <c r="B598" s="18" t="s">
        <v>1120</v>
      </c>
      <c r="C598" t="s">
        <v>980</v>
      </c>
      <c r="D598" t="s">
        <v>981</v>
      </c>
    </row>
    <row r="599" spans="1:4" x14ac:dyDescent="0.25">
      <c r="A599" t="s">
        <v>1138</v>
      </c>
      <c r="B599" t="s">
        <v>1139</v>
      </c>
      <c r="C599" t="s">
        <v>980</v>
      </c>
      <c r="D599" t="s">
        <v>981</v>
      </c>
    </row>
    <row r="600" spans="1:4" x14ac:dyDescent="0.25">
      <c r="A600" t="s">
        <v>1161</v>
      </c>
      <c r="B600" t="s">
        <v>1162</v>
      </c>
      <c r="C600" t="s">
        <v>980</v>
      </c>
      <c r="D600" t="s">
        <v>981</v>
      </c>
    </row>
    <row r="601" spans="1:4" x14ac:dyDescent="0.25">
      <c r="A601" t="s">
        <v>1163</v>
      </c>
      <c r="B601" t="s">
        <v>1164</v>
      </c>
      <c r="C601" t="s">
        <v>980</v>
      </c>
      <c r="D601" t="s">
        <v>981</v>
      </c>
    </row>
    <row r="602" spans="1:4" x14ac:dyDescent="0.25">
      <c r="A602" t="s">
        <v>1196</v>
      </c>
      <c r="B602" t="s">
        <v>1197</v>
      </c>
      <c r="C602" t="s">
        <v>980</v>
      </c>
      <c r="D602" t="s">
        <v>981</v>
      </c>
    </row>
    <row r="603" spans="1:4" x14ac:dyDescent="0.25">
      <c r="A603" t="s">
        <v>1198</v>
      </c>
      <c r="B603" t="s">
        <v>1199</v>
      </c>
      <c r="C603" t="s">
        <v>980</v>
      </c>
      <c r="D603" t="s">
        <v>981</v>
      </c>
    </row>
    <row r="604" spans="1:4" x14ac:dyDescent="0.25">
      <c r="A604" t="s">
        <v>1209</v>
      </c>
      <c r="B604" t="s">
        <v>1210</v>
      </c>
      <c r="C604" t="s">
        <v>980</v>
      </c>
      <c r="D604" t="s">
        <v>981</v>
      </c>
    </row>
    <row r="605" spans="1:4" x14ac:dyDescent="0.25">
      <c r="A605" s="3" t="s">
        <v>955</v>
      </c>
      <c r="B605" t="s">
        <v>956</v>
      </c>
      <c r="C605" t="s">
        <v>980</v>
      </c>
      <c r="D605" t="s">
        <v>981</v>
      </c>
    </row>
    <row r="606" spans="1:4" x14ac:dyDescent="0.25">
      <c r="A606" s="3" t="s">
        <v>957</v>
      </c>
      <c r="B606" t="s">
        <v>172</v>
      </c>
      <c r="C606" t="s">
        <v>980</v>
      </c>
      <c r="D606" t="s">
        <v>981</v>
      </c>
    </row>
    <row r="607" spans="1:4" x14ac:dyDescent="0.25">
      <c r="A607" s="3" t="s">
        <v>958</v>
      </c>
      <c r="B607" t="s">
        <v>192</v>
      </c>
      <c r="C607" t="s">
        <v>980</v>
      </c>
      <c r="D607" t="s">
        <v>981</v>
      </c>
    </row>
    <row r="608" spans="1:4" x14ac:dyDescent="0.25">
      <c r="A608" s="3" t="s">
        <v>959</v>
      </c>
      <c r="B608" t="s">
        <v>214</v>
      </c>
      <c r="C608" t="s">
        <v>980</v>
      </c>
      <c r="D608" t="s">
        <v>981</v>
      </c>
    </row>
    <row r="609" spans="1:4" x14ac:dyDescent="0.25">
      <c r="A609" s="3" t="s">
        <v>960</v>
      </c>
      <c r="B609" t="s">
        <v>961</v>
      </c>
      <c r="C609" t="s">
        <v>980</v>
      </c>
      <c r="D609" t="s">
        <v>981</v>
      </c>
    </row>
    <row r="610" spans="1:4" x14ac:dyDescent="0.25">
      <c r="A610" t="s">
        <v>1165</v>
      </c>
      <c r="B610" t="s">
        <v>1166</v>
      </c>
      <c r="C610" t="s">
        <v>980</v>
      </c>
      <c r="D610" t="s">
        <v>981</v>
      </c>
    </row>
    <row r="611" spans="1:4" x14ac:dyDescent="0.25">
      <c r="A611" t="s">
        <v>1190</v>
      </c>
      <c r="B611" t="s">
        <v>170</v>
      </c>
      <c r="C611" t="s">
        <v>980</v>
      </c>
      <c r="D611" t="s">
        <v>981</v>
      </c>
    </row>
    <row r="612" spans="1:4" x14ac:dyDescent="0.25">
      <c r="A612" s="18" t="s">
        <v>1059</v>
      </c>
      <c r="B612" s="18" t="s">
        <v>1060</v>
      </c>
      <c r="C612" t="s">
        <v>980</v>
      </c>
      <c r="D612" t="s">
        <v>981</v>
      </c>
    </row>
    <row r="613" spans="1:4" x14ac:dyDescent="0.25">
      <c r="A613" t="s">
        <v>1191</v>
      </c>
      <c r="B613" t="s">
        <v>1192</v>
      </c>
      <c r="C613" t="s">
        <v>980</v>
      </c>
      <c r="D613" t="s">
        <v>981</v>
      </c>
    </row>
    <row r="614" spans="1:4" x14ac:dyDescent="0.25">
      <c r="A614" s="3" t="s">
        <v>962</v>
      </c>
      <c r="B614" t="s">
        <v>963</v>
      </c>
      <c r="C614" t="s">
        <v>980</v>
      </c>
      <c r="D614" t="s">
        <v>981</v>
      </c>
    </row>
    <row r="615" spans="1:4" x14ac:dyDescent="0.25">
      <c r="A615" s="3" t="s">
        <v>1017</v>
      </c>
      <c r="B615" t="s">
        <v>1018</v>
      </c>
      <c r="C615" t="s">
        <v>980</v>
      </c>
      <c r="D615" t="s">
        <v>981</v>
      </c>
    </row>
    <row r="616" spans="1:4" x14ac:dyDescent="0.25">
      <c r="A616" s="3" t="s">
        <v>964</v>
      </c>
      <c r="B616" t="s">
        <v>965</v>
      </c>
      <c r="C616" t="s">
        <v>980</v>
      </c>
      <c r="D616" t="s">
        <v>981</v>
      </c>
    </row>
    <row r="617" spans="1:4" x14ac:dyDescent="0.25">
      <c r="A617" s="3" t="s">
        <v>966</v>
      </c>
      <c r="B617" t="s">
        <v>967</v>
      </c>
      <c r="C617" t="s">
        <v>980</v>
      </c>
      <c r="D617" t="s">
        <v>981</v>
      </c>
    </row>
    <row r="618" spans="1:4" x14ac:dyDescent="0.25">
      <c r="A618" s="3" t="s">
        <v>968</v>
      </c>
      <c r="B618" t="s">
        <v>969</v>
      </c>
      <c r="C618" t="s">
        <v>980</v>
      </c>
      <c r="D618" t="s">
        <v>981</v>
      </c>
    </row>
    <row r="619" spans="1:4" x14ac:dyDescent="0.25">
      <c r="A619" s="3" t="s">
        <v>970</v>
      </c>
      <c r="B619" t="s">
        <v>971</v>
      </c>
      <c r="C619" t="s">
        <v>980</v>
      </c>
      <c r="D619" t="s">
        <v>981</v>
      </c>
    </row>
    <row r="620" spans="1:4" x14ac:dyDescent="0.25">
      <c r="A620" s="3" t="s">
        <v>972</v>
      </c>
      <c r="B620" t="s">
        <v>973</v>
      </c>
      <c r="C620" t="s">
        <v>980</v>
      </c>
      <c r="D620" t="s">
        <v>981</v>
      </c>
    </row>
    <row r="621" spans="1:4" x14ac:dyDescent="0.25">
      <c r="A621" t="s">
        <v>1140</v>
      </c>
      <c r="B621" t="s">
        <v>1141</v>
      </c>
      <c r="C621" t="s">
        <v>980</v>
      </c>
      <c r="D621" t="s">
        <v>981</v>
      </c>
    </row>
    <row r="622" spans="1:4" x14ac:dyDescent="0.25">
      <c r="A622" s="3" t="s">
        <v>996</v>
      </c>
      <c r="B622" t="s">
        <v>997</v>
      </c>
      <c r="C622" t="s">
        <v>980</v>
      </c>
      <c r="D622" t="s">
        <v>981</v>
      </c>
    </row>
    <row r="623" spans="1:4" x14ac:dyDescent="0.25">
      <c r="A623" s="3" t="s">
        <v>1009</v>
      </c>
      <c r="B623" t="s">
        <v>1010</v>
      </c>
      <c r="C623" t="s">
        <v>980</v>
      </c>
      <c r="D623" t="s">
        <v>981</v>
      </c>
    </row>
    <row r="624" spans="1:4" x14ac:dyDescent="0.25">
      <c r="A624" s="3" t="s">
        <v>1011</v>
      </c>
      <c r="B624" t="s">
        <v>1012</v>
      </c>
      <c r="C624" t="s">
        <v>980</v>
      </c>
      <c r="D624" t="s">
        <v>981</v>
      </c>
    </row>
    <row r="625" spans="1:4" x14ac:dyDescent="0.25">
      <c r="A625" s="3" t="s">
        <v>1019</v>
      </c>
      <c r="B625" t="s">
        <v>1020</v>
      </c>
      <c r="C625" t="s">
        <v>980</v>
      </c>
      <c r="D625" t="s">
        <v>981</v>
      </c>
    </row>
    <row r="626" spans="1:4" x14ac:dyDescent="0.25">
      <c r="A626" s="18" t="s">
        <v>1121</v>
      </c>
      <c r="B626" s="18" t="s">
        <v>1122</v>
      </c>
      <c r="C626" t="s">
        <v>980</v>
      </c>
      <c r="D626" t="s">
        <v>981</v>
      </c>
    </row>
    <row r="627" spans="1:4" x14ac:dyDescent="0.25">
      <c r="A627" s="18" t="s">
        <v>1123</v>
      </c>
      <c r="B627" s="18" t="s">
        <v>1124</v>
      </c>
      <c r="C627" t="s">
        <v>980</v>
      </c>
      <c r="D627" t="s">
        <v>981</v>
      </c>
    </row>
    <row r="628" spans="1:4" x14ac:dyDescent="0.25">
      <c r="A628" t="s">
        <v>1211</v>
      </c>
      <c r="B628" t="s">
        <v>1212</v>
      </c>
      <c r="C628" t="s">
        <v>980</v>
      </c>
      <c r="D628" t="s">
        <v>981</v>
      </c>
    </row>
    <row r="629" spans="1:4" x14ac:dyDescent="0.25">
      <c r="A629" s="3" t="s">
        <v>974</v>
      </c>
      <c r="B629" t="s">
        <v>975</v>
      </c>
      <c r="C629" t="s">
        <v>980</v>
      </c>
      <c r="D629" t="s">
        <v>981</v>
      </c>
    </row>
    <row r="630" spans="1:4" x14ac:dyDescent="0.25">
      <c r="A630" s="3" t="s">
        <v>976</v>
      </c>
      <c r="B630" t="s">
        <v>977</v>
      </c>
      <c r="C630" t="s">
        <v>980</v>
      </c>
      <c r="D630" t="s">
        <v>981</v>
      </c>
    </row>
    <row r="631" spans="1:4" x14ac:dyDescent="0.25">
      <c r="A631" s="18" t="s">
        <v>1097</v>
      </c>
      <c r="B631" s="18" t="s">
        <v>1098</v>
      </c>
      <c r="C631" t="s">
        <v>980</v>
      </c>
      <c r="D631" t="s">
        <v>981</v>
      </c>
    </row>
    <row r="632" spans="1:4" x14ac:dyDescent="0.25">
      <c r="A632" t="s">
        <v>1180</v>
      </c>
      <c r="B632" t="s">
        <v>1181</v>
      </c>
      <c r="C632" t="s">
        <v>980</v>
      </c>
      <c r="D632" t="s">
        <v>981</v>
      </c>
    </row>
    <row r="633" spans="1:4" x14ac:dyDescent="0.25">
      <c r="A633" t="s">
        <v>1182</v>
      </c>
      <c r="B633" t="s">
        <v>1183</v>
      </c>
      <c r="C633" t="s">
        <v>980</v>
      </c>
      <c r="D633" t="s">
        <v>981</v>
      </c>
    </row>
  </sheetData>
  <autoFilter ref="A1:D630" xr:uid="{632ADD0C-2FC4-4467-BC4E-8C14753A2D16}"/>
  <conditionalFormatting sqref="D13">
    <cfRule type="duplicateValues" dxfId="91" priority="59"/>
  </conditionalFormatting>
  <conditionalFormatting sqref="D14">
    <cfRule type="duplicateValues" dxfId="90" priority="58"/>
  </conditionalFormatting>
  <conditionalFormatting sqref="D15">
    <cfRule type="duplicateValues" dxfId="89" priority="57"/>
  </conditionalFormatting>
  <conditionalFormatting sqref="D16">
    <cfRule type="duplicateValues" dxfId="88" priority="56"/>
  </conditionalFormatting>
  <conditionalFormatting sqref="D17">
    <cfRule type="duplicateValues" dxfId="87" priority="55"/>
  </conditionalFormatting>
  <conditionalFormatting sqref="D19">
    <cfRule type="duplicateValues" dxfId="86" priority="54"/>
  </conditionalFormatting>
  <conditionalFormatting sqref="D20">
    <cfRule type="duplicateValues" dxfId="85" priority="53"/>
  </conditionalFormatting>
  <conditionalFormatting sqref="D21">
    <cfRule type="duplicateValues" dxfId="84" priority="52"/>
  </conditionalFormatting>
  <conditionalFormatting sqref="D22">
    <cfRule type="duplicateValues" dxfId="83" priority="51"/>
  </conditionalFormatting>
  <conditionalFormatting sqref="D23">
    <cfRule type="duplicateValues" dxfId="82" priority="50"/>
  </conditionalFormatting>
  <conditionalFormatting sqref="D24:D25">
    <cfRule type="duplicateValues" dxfId="81" priority="49"/>
  </conditionalFormatting>
  <conditionalFormatting sqref="D27">
    <cfRule type="duplicateValues" dxfId="80" priority="48"/>
  </conditionalFormatting>
  <conditionalFormatting sqref="D28">
    <cfRule type="duplicateValues" dxfId="79" priority="47"/>
  </conditionalFormatting>
  <conditionalFormatting sqref="D30">
    <cfRule type="duplicateValues" dxfId="78" priority="46"/>
  </conditionalFormatting>
  <conditionalFormatting sqref="D31">
    <cfRule type="duplicateValues" dxfId="77" priority="45"/>
  </conditionalFormatting>
  <conditionalFormatting sqref="D32">
    <cfRule type="duplicateValues" dxfId="76" priority="44"/>
  </conditionalFormatting>
  <conditionalFormatting sqref="D35">
    <cfRule type="duplicateValues" dxfId="75" priority="43"/>
  </conditionalFormatting>
  <conditionalFormatting sqref="D36">
    <cfRule type="duplicateValues" dxfId="74" priority="42"/>
  </conditionalFormatting>
  <conditionalFormatting sqref="D39">
    <cfRule type="duplicateValues" dxfId="73" priority="41"/>
  </conditionalFormatting>
  <conditionalFormatting sqref="D40">
    <cfRule type="duplicateValues" dxfId="72" priority="40"/>
  </conditionalFormatting>
  <conditionalFormatting sqref="D41">
    <cfRule type="duplicateValues" dxfId="71" priority="39"/>
  </conditionalFormatting>
  <conditionalFormatting sqref="D42">
    <cfRule type="duplicateValues" dxfId="70" priority="38"/>
  </conditionalFormatting>
  <conditionalFormatting sqref="D43">
    <cfRule type="duplicateValues" dxfId="69" priority="37"/>
  </conditionalFormatting>
  <conditionalFormatting sqref="D44:D46">
    <cfRule type="duplicateValues" dxfId="68" priority="36"/>
  </conditionalFormatting>
  <conditionalFormatting sqref="D47">
    <cfRule type="duplicateValues" dxfId="67" priority="5"/>
  </conditionalFormatting>
  <conditionalFormatting sqref="D48">
    <cfRule type="duplicateValues" dxfId="66" priority="35"/>
  </conditionalFormatting>
  <conditionalFormatting sqref="D50">
    <cfRule type="duplicateValues" dxfId="65" priority="6"/>
  </conditionalFormatting>
  <conditionalFormatting sqref="D53">
    <cfRule type="duplicateValues" dxfId="64" priority="34"/>
  </conditionalFormatting>
  <conditionalFormatting sqref="D54">
    <cfRule type="duplicateValues" dxfId="63" priority="33"/>
  </conditionalFormatting>
  <conditionalFormatting sqref="D55">
    <cfRule type="duplicateValues" dxfId="62" priority="32"/>
  </conditionalFormatting>
  <conditionalFormatting sqref="D56">
    <cfRule type="duplicateValues" dxfId="61" priority="31"/>
  </conditionalFormatting>
  <conditionalFormatting sqref="D57:D63">
    <cfRule type="duplicateValues" dxfId="60" priority="30"/>
  </conditionalFormatting>
  <conditionalFormatting sqref="D65:D76">
    <cfRule type="duplicateValues" dxfId="59" priority="29"/>
  </conditionalFormatting>
  <conditionalFormatting sqref="D78:D89">
    <cfRule type="duplicateValues" dxfId="58" priority="28"/>
  </conditionalFormatting>
  <conditionalFormatting sqref="D91:D98">
    <cfRule type="duplicateValues" dxfId="57" priority="27"/>
  </conditionalFormatting>
  <conditionalFormatting sqref="D101">
    <cfRule type="duplicateValues" dxfId="56" priority="26"/>
  </conditionalFormatting>
  <conditionalFormatting sqref="D102">
    <cfRule type="duplicateValues" dxfId="55" priority="25"/>
  </conditionalFormatting>
  <conditionalFormatting sqref="D105">
    <cfRule type="duplicateValues" dxfId="54" priority="23"/>
  </conditionalFormatting>
  <conditionalFormatting sqref="D106:D108">
    <cfRule type="duplicateValues" dxfId="53" priority="24"/>
  </conditionalFormatting>
  <conditionalFormatting sqref="D110">
    <cfRule type="duplicateValues" dxfId="52" priority="22"/>
  </conditionalFormatting>
  <conditionalFormatting sqref="D112:D117 D119:D121">
    <cfRule type="duplicateValues" dxfId="51" priority="21"/>
  </conditionalFormatting>
  <conditionalFormatting sqref="D124:D126">
    <cfRule type="duplicateValues" dxfId="50" priority="15"/>
  </conditionalFormatting>
  <conditionalFormatting sqref="D128">
    <cfRule type="duplicateValues" dxfId="49" priority="20"/>
  </conditionalFormatting>
  <conditionalFormatting sqref="D130:D133">
    <cfRule type="duplicateValues" dxfId="48" priority="19"/>
  </conditionalFormatting>
  <conditionalFormatting sqref="D136">
    <cfRule type="duplicateValues" dxfId="47" priority="13"/>
  </conditionalFormatting>
  <conditionalFormatting sqref="D139:D141">
    <cfRule type="duplicateValues" dxfId="46" priority="18"/>
  </conditionalFormatting>
  <conditionalFormatting sqref="D145:D146">
    <cfRule type="duplicateValues" dxfId="45" priority="17"/>
  </conditionalFormatting>
  <conditionalFormatting sqref="D148:D151">
    <cfRule type="duplicateValues" dxfId="44" priority="93"/>
  </conditionalFormatting>
  <conditionalFormatting sqref="D153:D154">
    <cfRule type="duplicateValues" dxfId="43" priority="14"/>
  </conditionalFormatting>
  <conditionalFormatting sqref="D158:D174">
    <cfRule type="duplicateValues" dxfId="42" priority="92"/>
  </conditionalFormatting>
  <conditionalFormatting sqref="D176:D189">
    <cfRule type="duplicateValues" dxfId="41" priority="90"/>
  </conditionalFormatting>
  <conditionalFormatting sqref="D192:D194">
    <cfRule type="duplicateValues" dxfId="40" priority="91"/>
  </conditionalFormatting>
  <conditionalFormatting sqref="D196:D199">
    <cfRule type="duplicateValues" dxfId="39" priority="89"/>
  </conditionalFormatting>
  <conditionalFormatting sqref="D201">
    <cfRule type="duplicateValues" dxfId="38" priority="88"/>
  </conditionalFormatting>
  <conditionalFormatting sqref="D203">
    <cfRule type="duplicateValues" dxfId="37" priority="87"/>
  </conditionalFormatting>
  <conditionalFormatting sqref="D238:D242">
    <cfRule type="duplicateValues" dxfId="36" priority="84"/>
  </conditionalFormatting>
  <conditionalFormatting sqref="D243">
    <cfRule type="duplicateValues" dxfId="35" priority="12"/>
  </conditionalFormatting>
  <conditionalFormatting sqref="D244">
    <cfRule type="duplicateValues" dxfId="34" priority="11"/>
  </conditionalFormatting>
  <conditionalFormatting sqref="D247">
    <cfRule type="duplicateValues" dxfId="33" priority="83"/>
  </conditionalFormatting>
  <conditionalFormatting sqref="D248">
    <cfRule type="duplicateValues" dxfId="32" priority="4"/>
  </conditionalFormatting>
  <conditionalFormatting sqref="D249">
    <cfRule type="duplicateValues" dxfId="31" priority="3"/>
  </conditionalFormatting>
  <conditionalFormatting sqref="D250">
    <cfRule type="duplicateValues" dxfId="30" priority="82"/>
  </conditionalFormatting>
  <conditionalFormatting sqref="D252:D261">
    <cfRule type="duplicateValues" dxfId="29" priority="81"/>
  </conditionalFormatting>
  <conditionalFormatting sqref="D263:D275">
    <cfRule type="duplicateValues" dxfId="28" priority="86"/>
  </conditionalFormatting>
  <conditionalFormatting sqref="D277:D286">
    <cfRule type="duplicateValues" dxfId="27" priority="85"/>
  </conditionalFormatting>
  <conditionalFormatting sqref="D288:D293">
    <cfRule type="duplicateValues" dxfId="26" priority="80"/>
  </conditionalFormatting>
  <conditionalFormatting sqref="D295">
    <cfRule type="duplicateValues" dxfId="25" priority="73"/>
  </conditionalFormatting>
  <conditionalFormatting sqref="D297:D300">
    <cfRule type="duplicateValues" dxfId="24" priority="74"/>
  </conditionalFormatting>
  <conditionalFormatting sqref="D302:D319">
    <cfRule type="duplicateValues" dxfId="23" priority="94"/>
  </conditionalFormatting>
  <conditionalFormatting sqref="D321 D323">
    <cfRule type="duplicateValues" dxfId="22" priority="78"/>
  </conditionalFormatting>
  <conditionalFormatting sqref="D325">
    <cfRule type="duplicateValues" dxfId="21" priority="77"/>
  </conditionalFormatting>
  <conditionalFormatting sqref="D326:D327">
    <cfRule type="duplicateValues" dxfId="20" priority="75"/>
  </conditionalFormatting>
  <conditionalFormatting sqref="D328">
    <cfRule type="duplicateValues" dxfId="19" priority="76"/>
  </conditionalFormatting>
  <conditionalFormatting sqref="D332">
    <cfRule type="duplicateValues" dxfId="18" priority="2"/>
  </conditionalFormatting>
  <conditionalFormatting sqref="D335 D330">
    <cfRule type="duplicateValues" dxfId="17" priority="10"/>
  </conditionalFormatting>
  <conditionalFormatting sqref="D339:D340">
    <cfRule type="duplicateValues" dxfId="16" priority="72"/>
  </conditionalFormatting>
  <conditionalFormatting sqref="D341">
    <cfRule type="duplicateValues" dxfId="15" priority="71"/>
  </conditionalFormatting>
  <conditionalFormatting sqref="D343:D357">
    <cfRule type="duplicateValues" dxfId="14" priority="70"/>
  </conditionalFormatting>
  <conditionalFormatting sqref="D359:D360">
    <cfRule type="duplicateValues" dxfId="13" priority="68"/>
  </conditionalFormatting>
  <conditionalFormatting sqref="D362">
    <cfRule type="duplicateValues" dxfId="12" priority="8"/>
  </conditionalFormatting>
  <conditionalFormatting sqref="D364">
    <cfRule type="duplicateValues" dxfId="11" priority="9"/>
  </conditionalFormatting>
  <conditionalFormatting sqref="D366">
    <cfRule type="duplicateValues" dxfId="10" priority="69"/>
  </conditionalFormatting>
  <conditionalFormatting sqref="D369">
    <cfRule type="duplicateValues" dxfId="9" priority="67"/>
  </conditionalFormatting>
  <conditionalFormatting sqref="D371">
    <cfRule type="duplicateValues" dxfId="8" priority="66"/>
  </conditionalFormatting>
  <conditionalFormatting sqref="D373">
    <cfRule type="duplicateValues" dxfId="7" priority="65"/>
  </conditionalFormatting>
  <conditionalFormatting sqref="D375">
    <cfRule type="duplicateValues" dxfId="6" priority="64"/>
  </conditionalFormatting>
  <conditionalFormatting sqref="D379">
    <cfRule type="duplicateValues" dxfId="5" priority="63"/>
  </conditionalFormatting>
  <conditionalFormatting sqref="D381">
    <cfRule type="duplicateValues" dxfId="4" priority="62"/>
  </conditionalFormatting>
  <conditionalFormatting sqref="D382">
    <cfRule type="duplicateValues" dxfId="3" priority="61"/>
  </conditionalFormatting>
  <conditionalFormatting sqref="D386 D383:D384">
    <cfRule type="duplicateValues" dxfId="2" priority="60"/>
  </conditionalFormatting>
  <conditionalFormatting sqref="D387">
    <cfRule type="duplicateValues" dxfId="1" priority="1"/>
  </conditionalFormatting>
  <conditionalFormatting sqref="D388">
    <cfRule type="duplicateValues" dxfId="0" priority="7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Ativo</vt:lpstr>
      <vt:lpstr>passivo</vt:lpstr>
      <vt:lpstr>TESTE</vt:lpstr>
      <vt:lpstr>Planilha1</vt:lpstr>
      <vt:lpstr>indice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Usuarios</dc:creator>
  <cp:lastModifiedBy>Fabio Freire</cp:lastModifiedBy>
  <cp:lastPrinted>2025-04-28T16:38:18Z</cp:lastPrinted>
  <dcterms:created xsi:type="dcterms:W3CDTF">2023-06-26T17:50:10Z</dcterms:created>
  <dcterms:modified xsi:type="dcterms:W3CDTF">2026-08-19T18:44:26Z</dcterms:modified>
</cp:coreProperties>
</file>