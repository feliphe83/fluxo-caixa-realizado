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B0261CDA-8DC3-42B9-9483-367B7EC55B4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xport" sheetId="1" r:id="rId1"/>
    <sheet name="Teste" sheetId="4" r:id="rId2"/>
    <sheet name="Planilha1" sheetId="2" r:id="rId3"/>
    <sheet name="indice" sheetId="3" r:id="rId4"/>
  </sheets>
  <definedNames>
    <definedName name="_xlnm._FilterDatabase" localSheetId="2" hidden="1">Planilha1!$A$1:$H$199</definedName>
    <definedName name="_xlnm.Print_Area" localSheetId="0">Export!$B$1:$K$24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9" i="2" l="1"/>
  <c r="H200" i="2"/>
  <c r="H201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8" i="2"/>
  <c r="F14" i="1"/>
  <c r="F15" i="1"/>
  <c r="C16" i="1" l="1"/>
  <c r="C7" i="1"/>
  <c r="C15" i="1"/>
  <c r="C18" i="1"/>
  <c r="C9" i="1"/>
  <c r="C12" i="1"/>
  <c r="C14" i="1"/>
  <c r="C4" i="1"/>
  <c r="C13" i="1"/>
  <c r="C2" i="1"/>
  <c r="C11" i="1" l="1"/>
  <c r="C6" i="1"/>
  <c r="C10" i="1" s="1"/>
  <c r="C3" i="1"/>
  <c r="H18" i="1"/>
  <c r="H16" i="1"/>
  <c r="H24" i="1" s="1"/>
  <c r="G16" i="1"/>
  <c r="H14" i="1"/>
  <c r="H6" i="1"/>
  <c r="H10" i="1" s="1"/>
  <c r="G6" i="1"/>
  <c r="C17" i="1" l="1"/>
  <c r="C20" i="1" s="1"/>
  <c r="C23" i="1" s="1"/>
  <c r="C24" i="1" s="1"/>
  <c r="H11" i="1"/>
  <c r="H17" i="1" s="1"/>
  <c r="H20" i="1" s="1"/>
  <c r="G18" i="1"/>
  <c r="G14" i="1"/>
  <c r="K24" i="1" l="1"/>
  <c r="J24" i="1"/>
  <c r="I24" i="1"/>
  <c r="G11" i="1"/>
  <c r="F4" i="1"/>
  <c r="F6" i="1" s="1"/>
  <c r="F10" i="1" s="1"/>
  <c r="G9" i="1"/>
  <c r="G10" i="1" s="1"/>
  <c r="F11" i="1"/>
  <c r="G17" i="1" l="1"/>
  <c r="F17" i="1"/>
  <c r="F20" i="1" s="1"/>
  <c r="F23" i="1" s="1"/>
  <c r="F24" i="1" s="1"/>
  <c r="G20" i="1" l="1"/>
  <c r="G23" i="1" s="1"/>
  <c r="G24" i="1" s="1"/>
</calcChain>
</file>

<file path=xl/sharedStrings.xml><?xml version="1.0" encoding="utf-8"?>
<sst xmlns="http://schemas.openxmlformats.org/spreadsheetml/2006/main" count="1325" uniqueCount="523">
  <si>
    <t>Item_DRE</t>
  </si>
  <si>
    <t>2022</t>
  </si>
  <si>
    <t>2021</t>
  </si>
  <si>
    <t>2020</t>
  </si>
  <si>
    <t>2019</t>
  </si>
  <si>
    <t>2018</t>
  </si>
  <si>
    <t>(+) RECEITA BRUTA DE VENDAS</t>
  </si>
  <si>
    <t>RECEITA BRUTA DE VENDAS</t>
  </si>
  <si>
    <t>(-)TRIBUTOS SOBRE VENDAS</t>
  </si>
  <si>
    <t>TRIBUTOS SOBRE VENDAS</t>
  </si>
  <si>
    <t>(=)RECEITA LÍQUIDA DE VENDAS</t>
  </si>
  <si>
    <t>(-)CUSTOS DOS PRODUTOS VENDIDOS</t>
  </si>
  <si>
    <t>CUSTOS DOS PRODUTOS VENDIDOS</t>
  </si>
  <si>
    <t>(=)LUCRO BRUTO</t>
  </si>
  <si>
    <t>(-)DESPESAS E OUTRAS RECEITAS OPERACIONAIS</t>
  </si>
  <si>
    <t>DESPESAS COM VENDAS</t>
  </si>
  <si>
    <t>DESPESAS GERAIS E ADMINISTRATIVAS</t>
  </si>
  <si>
    <t>(=)RESULTADO OPERACIONAL ANTES DO RESULTADO FINANCEIRO</t>
  </si>
  <si>
    <t>RESULTADO FINANCEIRO LÍQUIDO</t>
  </si>
  <si>
    <t>RESULTADO FINANCEIRO LIQUIDO</t>
  </si>
  <si>
    <t>RESULTADO ANTES DO IRPJ E CSLL</t>
  </si>
  <si>
    <t>IMPOSTO DE RENDA E CONTRIBUIÇÃO SOCIAL</t>
  </si>
  <si>
    <t>RESULTADO LÍQUIDO</t>
  </si>
  <si>
    <t>ORDEM</t>
  </si>
  <si>
    <t>176.025</t>
  </si>
  <si>
    <t>100.978</t>
  </si>
  <si>
    <t>88.411</t>
  </si>
  <si>
    <t>818</t>
  </si>
  <si>
    <t>6.637</t>
  </si>
  <si>
    <t>4.297</t>
  </si>
  <si>
    <t>175.206</t>
  </si>
  <si>
    <t>94.341</t>
  </si>
  <si>
    <t>84.114</t>
  </si>
  <si>
    <t>117.128</t>
  </si>
  <si>
    <t>92.699</t>
  </si>
  <si>
    <t>87.654</t>
  </si>
  <si>
    <t>58.078</t>
  </si>
  <si>
    <t>1.642</t>
  </si>
  <si>
    <t>3.540</t>
  </si>
  <si>
    <t>19.604</t>
  </si>
  <si>
    <t>13.753</t>
  </si>
  <si>
    <t>2.162</t>
  </si>
  <si>
    <t>38.474</t>
  </si>
  <si>
    <t>12.111</t>
  </si>
  <si>
    <t>5.702</t>
  </si>
  <si>
    <t>15.204</t>
  </si>
  <si>
    <t>4.369</t>
  </si>
  <si>
    <t>4.000</t>
  </si>
  <si>
    <t>23.270</t>
  </si>
  <si>
    <t>23.123</t>
  </si>
  <si>
    <t>(16.480)</t>
  </si>
  <si>
    <t>(9.702)</t>
  </si>
  <si>
    <t>OUTRAS (RECEITAS)/ DESPESAS OPERACIONAIS</t>
  </si>
  <si>
    <t>504</t>
  </si>
  <si>
    <t>12.488</t>
  </si>
  <si>
    <t>IPI</t>
  </si>
  <si>
    <t>ICMS</t>
  </si>
  <si>
    <t>PIS</t>
  </si>
  <si>
    <t>COFINS</t>
  </si>
  <si>
    <t>AÇÚCAR VHP</t>
  </si>
  <si>
    <t>ÁLCOOL HIDRATADO</t>
  </si>
  <si>
    <t>MELAÇO</t>
  </si>
  <si>
    <t>ÁLCOOL ANIDRO</t>
  </si>
  <si>
    <t>INSS</t>
  </si>
  <si>
    <t>FGTS</t>
  </si>
  <si>
    <t xml:space="preserve"> 3</t>
  </si>
  <si>
    <t>RESULTADO DO EXERCÍCIO</t>
  </si>
  <si>
    <t xml:space="preserve"> 3.1</t>
  </si>
  <si>
    <t>RECEITAS BRUTA DE VENDAS</t>
  </si>
  <si>
    <t xml:space="preserve"> 3.1.1</t>
  </si>
  <si>
    <t>VENDAS DE PRODUÇÃO PRÓPRIA</t>
  </si>
  <si>
    <t xml:space="preserve"> 3.1.1.01</t>
  </si>
  <si>
    <t>VENDAS NO MERCADO INTERNO</t>
  </si>
  <si>
    <t xml:space="preserve"> 3.1.1.01.003</t>
  </si>
  <si>
    <t xml:space="preserve"> 3.1.1.01.005</t>
  </si>
  <si>
    <t xml:space="preserve"> 3.1.1.01.006</t>
  </si>
  <si>
    <t xml:space="preserve"> 3.1.1.02</t>
  </si>
  <si>
    <t>VENDAS NO MERCADO EXTERNO</t>
  </si>
  <si>
    <t xml:space="preserve"> 3.1.1.02.007</t>
  </si>
  <si>
    <t xml:space="preserve"> 3.1.1.03</t>
  </si>
  <si>
    <t>VENDA DE SUB-PRODUTO</t>
  </si>
  <si>
    <t xml:space="preserve"> 3.1.1.03.001</t>
  </si>
  <si>
    <t>BAGAÇO</t>
  </si>
  <si>
    <t xml:space="preserve"> 3.1.1.03.002</t>
  </si>
  <si>
    <t>ÓLEO FUSEL</t>
  </si>
  <si>
    <t xml:space="preserve"> 3.1.1.04</t>
  </si>
  <si>
    <t>VENDA DE PRODUTOS AGRÍCOLAS</t>
  </si>
  <si>
    <t xml:space="preserve"> 3.1.1.04.001</t>
  </si>
  <si>
    <t>CANA DE AÇUCAR</t>
  </si>
  <si>
    <t xml:space="preserve"> 3.1.1.05</t>
  </si>
  <si>
    <t>OUTRAS RECEITAS COM VENDAS DE MERCADORIAS</t>
  </si>
  <si>
    <t xml:space="preserve"> 3.1.1.05.001</t>
  </si>
  <si>
    <t>VENDA DE SUCATA</t>
  </si>
  <si>
    <t xml:space="preserve"> 3.2</t>
  </si>
  <si>
    <t>DEDUÇÕES DE CUSTOS E DESP.OPERACIONAIS</t>
  </si>
  <si>
    <t xml:space="preserve"> 3.2.1</t>
  </si>
  <si>
    <t>DEDUÇÕES DIVERSAS</t>
  </si>
  <si>
    <t xml:space="preserve"> 3.2.1.01</t>
  </si>
  <si>
    <t>IMPOSTOS INCIDENTES SOBRE AS VENDAS DE PRODUTOS</t>
  </si>
  <si>
    <t xml:space="preserve"> 3.2.1.01.001</t>
  </si>
  <si>
    <t xml:space="preserve"> 3.2.1.01.002</t>
  </si>
  <si>
    <t xml:space="preserve"> 3.2.1.01.003</t>
  </si>
  <si>
    <t>PIS S/FATURAMENTO</t>
  </si>
  <si>
    <t xml:space="preserve"> 3.2.1.01.004</t>
  </si>
  <si>
    <t>COFINS S/FATURAMENTO</t>
  </si>
  <si>
    <t xml:space="preserve"> 3.2.1.01.005</t>
  </si>
  <si>
    <t>INSS S/FATURAMENTO</t>
  </si>
  <si>
    <t xml:space="preserve"> 3.2.1.01.006</t>
  </si>
  <si>
    <t>ICMS ST</t>
  </si>
  <si>
    <t xml:space="preserve"> 3.2.1.03</t>
  </si>
  <si>
    <t>IMPOSTOS INCIDENTES SOBRE AS DEMAIS VENDAS</t>
  </si>
  <si>
    <t xml:space="preserve"> 3.2.1.03.001</t>
  </si>
  <si>
    <t xml:space="preserve"> 3.2.1.03.003</t>
  </si>
  <si>
    <t>PIS S/ FATURAMENTO</t>
  </si>
  <si>
    <t xml:space="preserve"> 3.2.1.03.004</t>
  </si>
  <si>
    <t>COFINS S/ FATURAMENTO</t>
  </si>
  <si>
    <t xml:space="preserve"> 3.2.2</t>
  </si>
  <si>
    <t xml:space="preserve"> 3.2.2.01</t>
  </si>
  <si>
    <t>CUSTOS DIVERSOS</t>
  </si>
  <si>
    <t xml:space="preserve"> 3.2.2.01.001</t>
  </si>
  <si>
    <t>AÇÚCAR</t>
  </si>
  <si>
    <t xml:space="preserve"> 3.2.2.01.002</t>
  </si>
  <si>
    <t>ÁLCOOL</t>
  </si>
  <si>
    <t xml:space="preserve"> 3.2.2.01.003</t>
  </si>
  <si>
    <t xml:space="preserve"> 3.2.2.02</t>
  </si>
  <si>
    <t>CUSTO DOS PRODUTOS / MERCADORIAS VENDIDAS</t>
  </si>
  <si>
    <t xml:space="preserve"> 3.2.2.02.008</t>
  </si>
  <si>
    <t>CMV - VENDA DE AÇÚCAR VHP</t>
  </si>
  <si>
    <t xml:space="preserve"> 3.2.3</t>
  </si>
  <si>
    <t>CUSTOS E DESPESAS</t>
  </si>
  <si>
    <t xml:space="preserve"> 3.2.3.01</t>
  </si>
  <si>
    <t>CUSTEIO DE PRODUÇÃO AGRÍCOLA E INDUSTRIAL</t>
  </si>
  <si>
    <t xml:space="preserve"> 3.2.3.01.001</t>
  </si>
  <si>
    <t>ORDENADOS E SALÁRIOS</t>
  </si>
  <si>
    <t xml:space="preserve"> 3.2.3.01.002</t>
  </si>
  <si>
    <t>DÉCIMO TERCEIRO SALÁRIO</t>
  </si>
  <si>
    <t xml:space="preserve"> 3.2.3.01.003</t>
  </si>
  <si>
    <t>FÉRIAS</t>
  </si>
  <si>
    <t xml:space="preserve"> 3.2.3.01.005</t>
  </si>
  <si>
    <t xml:space="preserve"> 3.2.3.01.006</t>
  </si>
  <si>
    <t xml:space="preserve"> 3.2.3.01.009</t>
  </si>
  <si>
    <t>CONTRIBUIÇÕES A ENTIDADES DE CLASSE</t>
  </si>
  <si>
    <t xml:space="preserve"> 3.2.3.01.016</t>
  </si>
  <si>
    <t>GÊNEROS ALIMENTÍCIOS</t>
  </si>
  <si>
    <t xml:space="preserve"> 3.2.3.01.017</t>
  </si>
  <si>
    <t>UNIFORMES E FARDAMENTOS</t>
  </si>
  <si>
    <t xml:space="preserve"> 3.2.3.01.018</t>
  </si>
  <si>
    <t>TREINAMENTOS DE PESSOAL</t>
  </si>
  <si>
    <t xml:space="preserve"> 3.2.3.01.019</t>
  </si>
  <si>
    <t>DESPESAS DE VIAGENS E ESTADAS</t>
  </si>
  <si>
    <t xml:space="preserve"> 3.2.3.01.020</t>
  </si>
  <si>
    <t>DESPESAS C/LOC.DE EMPREGADOS</t>
  </si>
  <si>
    <t xml:space="preserve"> 3.2.3.01.021</t>
  </si>
  <si>
    <t>SERVIÇOS DE TERCEIROS-P.FÍSICA</t>
  </si>
  <si>
    <t xml:space="preserve"> 3.2.3.01.022</t>
  </si>
  <si>
    <t>SERVIÇOS DE TERCEIROS-P.JURÍDICA</t>
  </si>
  <si>
    <t xml:space="preserve"> 3.2.3.01.024</t>
  </si>
  <si>
    <t>FRETES E CARRETOS - P. JURÍDICA</t>
  </si>
  <si>
    <t xml:space="preserve"> 3.2.3.01.026</t>
  </si>
  <si>
    <t>MATERIAIS DE INFORMÁTICA</t>
  </si>
  <si>
    <t xml:space="preserve"> 3.2.3.01.028</t>
  </si>
  <si>
    <t>INDENIZAÇÕES TRABALHISTAS</t>
  </si>
  <si>
    <t xml:space="preserve"> 3.2.3.01.030</t>
  </si>
  <si>
    <t>ENERGIA ELÉTRICA ADQUIRIDA</t>
  </si>
  <si>
    <t xml:space="preserve"> 3.2.3.01.032</t>
  </si>
  <si>
    <t>ALUGUÉIS E ARRENDAMENTOS</t>
  </si>
  <si>
    <t xml:space="preserve"> 3.2.3.01.033</t>
  </si>
  <si>
    <t>PESQUISA E DESENVOLVIMENTO</t>
  </si>
  <si>
    <t xml:space="preserve"> 3.2.3.01.034</t>
  </si>
  <si>
    <t>IMPOSTOS, TAXAS E CONTRIBUIÇÕES</t>
  </si>
  <si>
    <t xml:space="preserve"> 3.2.3.01.038</t>
  </si>
  <si>
    <t>CUSTAS E EMOLUMENTOS</t>
  </si>
  <si>
    <t xml:space="preserve"> 3.2.3.01.044</t>
  </si>
  <si>
    <t>MATERIAL DE EXPEDIENTE</t>
  </si>
  <si>
    <t xml:space="preserve"> 3.2.3.01.045</t>
  </si>
  <si>
    <t>COMBUSTÍVEIS E LUBRIFICANTES</t>
  </si>
  <si>
    <t xml:space="preserve"> 3.2.3.01.049</t>
  </si>
  <si>
    <t>SACARIAS</t>
  </si>
  <si>
    <t xml:space="preserve"> 3.2.3.01.050</t>
  </si>
  <si>
    <t>INGREDIENTES E DROGAS DE FABRICAÇÃO</t>
  </si>
  <si>
    <t xml:space="preserve"> 3.2.3.01.051</t>
  </si>
  <si>
    <t>ADUBOS E FERTILIZANTES</t>
  </si>
  <si>
    <t xml:space="preserve"> 3.2.3.01.052</t>
  </si>
  <si>
    <t>INSETICIDAS FUNG.E HERBICIDAS</t>
  </si>
  <si>
    <t xml:space="preserve"> 3.2.3.01.055</t>
  </si>
  <si>
    <t>CANA DE FORNECEDORES</t>
  </si>
  <si>
    <t xml:space="preserve"> 3.2.3.01.056</t>
  </si>
  <si>
    <t>PEÇAS E ACESSÓRIOS</t>
  </si>
  <si>
    <t xml:space="preserve"> 3.2.3.01.057</t>
  </si>
  <si>
    <t>MATERIAL DE CONSTRUÇÃO</t>
  </si>
  <si>
    <t xml:space="preserve"> 3.2.3.01.060</t>
  </si>
  <si>
    <t>DEPRECIAÇÃO DE BENS</t>
  </si>
  <si>
    <t xml:space="preserve"> 3.2.3.01.061</t>
  </si>
  <si>
    <t>DEPRECIAÇÃO DE LAVOURA</t>
  </si>
  <si>
    <t xml:space="preserve"> 3.2.3.01.066</t>
  </si>
  <si>
    <t>MATERIAIS DIVERSOS</t>
  </si>
  <si>
    <t xml:space="preserve"> 3.2.3.01.070</t>
  </si>
  <si>
    <t>AMORTIZAÇÃO DE APONTAMENTOS</t>
  </si>
  <si>
    <t xml:space="preserve"> 3.2.3.01.074</t>
  </si>
  <si>
    <t>RECUPERAÇÕES ( - )</t>
  </si>
  <si>
    <t xml:space="preserve"> 3.2.3.01.076</t>
  </si>
  <si>
    <t>HORAS EXTRAS</t>
  </si>
  <si>
    <t xml:space="preserve"> 3.2.3.01.077</t>
  </si>
  <si>
    <t>ADICIONAL PERICULOSIDADE</t>
  </si>
  <si>
    <t xml:space="preserve"> 3.2.3.01.078</t>
  </si>
  <si>
    <t>ADICIONAL INSALUBRIDADE</t>
  </si>
  <si>
    <t xml:space="preserve"> 3.2.3.01.079</t>
  </si>
  <si>
    <t>LICENÇA REMUNERADA</t>
  </si>
  <si>
    <t xml:space="preserve"> 3.2.3.01.080</t>
  </si>
  <si>
    <t>AVISO PRÉVIO</t>
  </si>
  <si>
    <t xml:space="preserve"> 3.2.3.01.081</t>
  </si>
  <si>
    <t>ADICIONAL NOTURNO</t>
  </si>
  <si>
    <t xml:space="preserve"> 3.2.3.01.082</t>
  </si>
  <si>
    <t>GRATIFICAÇÃO</t>
  </si>
  <si>
    <t xml:space="preserve"> 3.2.3.01.090</t>
  </si>
  <si>
    <t>TRANSFERÊNCIA DE CUSTOS</t>
  </si>
  <si>
    <t xml:space="preserve"> 3.2.3.01.092</t>
  </si>
  <si>
    <t>CONTRIBUIÇÕES A TERCEIROS S/ FOLHA DE PAGAMENTO</t>
  </si>
  <si>
    <t xml:space="preserve"> 3.2.3.01.100</t>
  </si>
  <si>
    <t>HONORÁRIOS ADVOCATÍCIOS S/ PROCESSOS</t>
  </si>
  <si>
    <t xml:space="preserve"> 3.2.3.02</t>
  </si>
  <si>
    <t>DESPESAS COMERCIAIS</t>
  </si>
  <si>
    <t xml:space="preserve"> 3.2.3.02.001</t>
  </si>
  <si>
    <t xml:space="preserve"> 3.2.3.02.002</t>
  </si>
  <si>
    <t xml:space="preserve"> 3.2.3.02.003</t>
  </si>
  <si>
    <t xml:space="preserve"> 3.2.3.02.005</t>
  </si>
  <si>
    <t xml:space="preserve"> 3.2.3.02.006</t>
  </si>
  <si>
    <t xml:space="preserve"> 3.2.3.02.016</t>
  </si>
  <si>
    <t xml:space="preserve">GENÊROS ALIMENTÍCIOS </t>
  </si>
  <si>
    <t xml:space="preserve"> 3.2.3.02.020</t>
  </si>
  <si>
    <t xml:space="preserve"> 3.2.3.02.022</t>
  </si>
  <si>
    <t xml:space="preserve"> 3.2.3.02.024</t>
  </si>
  <si>
    <t>FRETES CARRETOS - P.JURÍDICA</t>
  </si>
  <si>
    <t xml:space="preserve"> 3.2.3.02.028</t>
  </si>
  <si>
    <t xml:space="preserve"> 3.2.3.02.044</t>
  </si>
  <si>
    <t xml:space="preserve"> 3.2.3.02.045</t>
  </si>
  <si>
    <t>COMBUSTÍVES E LUBRIFICANTES</t>
  </si>
  <si>
    <t xml:space="preserve"> 3.2.3.02.048</t>
  </si>
  <si>
    <t>CORREIOS</t>
  </si>
  <si>
    <t xml:space="preserve"> 3.2.3.02.050</t>
  </si>
  <si>
    <t xml:space="preserve"> 3.2.3.02.056</t>
  </si>
  <si>
    <t xml:space="preserve"> 3.2.3.02.060</t>
  </si>
  <si>
    <t xml:space="preserve"> 3.2.3.02.066</t>
  </si>
  <si>
    <t>MATERIAS DIVERSOS</t>
  </si>
  <si>
    <t xml:space="preserve"> 3.2.3.02.076</t>
  </si>
  <si>
    <t xml:space="preserve"> 3.2.3.02.078</t>
  </si>
  <si>
    <t xml:space="preserve"> 3.2.3.02.079</t>
  </si>
  <si>
    <t>LINCENÇA REMUNERADA</t>
  </si>
  <si>
    <t xml:space="preserve"> 3.2.3.02.080</t>
  </si>
  <si>
    <t xml:space="preserve"> 3.2.3.02.081</t>
  </si>
  <si>
    <t xml:space="preserve"> 3.2.3.02.082</t>
  </si>
  <si>
    <t xml:space="preserve"> 3.2.3.02.088</t>
  </si>
  <si>
    <t>PERDAS</t>
  </si>
  <si>
    <t xml:space="preserve"> 3.2.3.02.092</t>
  </si>
  <si>
    <t xml:space="preserve"> 3.2.3.02.106</t>
  </si>
  <si>
    <t>DESPESAS DE COMERCIALIZAÇÃO</t>
  </si>
  <si>
    <t xml:space="preserve"> 3.2.3.02.110</t>
  </si>
  <si>
    <t>MULTA CONTRATUAL</t>
  </si>
  <si>
    <t xml:space="preserve"> 3.2.3.02.111</t>
  </si>
  <si>
    <t>DESPESAS EMPAT</t>
  </si>
  <si>
    <t xml:space="preserve"> 3.2.3.03</t>
  </si>
  <si>
    <t>DESPESAS ADMINISTRATIVAS</t>
  </si>
  <si>
    <t xml:space="preserve"> 3.2.3.03.001</t>
  </si>
  <si>
    <t xml:space="preserve"> 3.2.3.03.002</t>
  </si>
  <si>
    <t xml:space="preserve"> 3.2.3.03.003</t>
  </si>
  <si>
    <t xml:space="preserve"> 3.2.3.03.004</t>
  </si>
  <si>
    <t>HONORÁRIOS DA DIRETORIA</t>
  </si>
  <si>
    <t xml:space="preserve"> 3.2.3.03.005</t>
  </si>
  <si>
    <t xml:space="preserve"> 3.2.3.03.006</t>
  </si>
  <si>
    <t xml:space="preserve"> 3.2.3.03.008</t>
  </si>
  <si>
    <t>CONTRIBUIÇÃO SINDICAL</t>
  </si>
  <si>
    <t xml:space="preserve"> 3.2.3.03.009</t>
  </si>
  <si>
    <t xml:space="preserve"> 3.2.3.03.011</t>
  </si>
  <si>
    <t>DESPESAS ASSIST. SOCIAL</t>
  </si>
  <si>
    <t xml:space="preserve"> 3.2.3.03.012</t>
  </si>
  <si>
    <t>CONFRATERNIZAÇÕES</t>
  </si>
  <si>
    <t xml:space="preserve"> 3.2.3.03.014</t>
  </si>
  <si>
    <t>MEDICAMENTOS E HOSPITALIZAÇÕES</t>
  </si>
  <si>
    <t xml:space="preserve"> 3.2.3.03.016</t>
  </si>
  <si>
    <t xml:space="preserve"> 3.2.3.03.017</t>
  </si>
  <si>
    <t xml:space="preserve"> 3.2.3.03.018</t>
  </si>
  <si>
    <t xml:space="preserve"> 3.2.3.03.019</t>
  </si>
  <si>
    <t>DESPESAS DE VIAGENS ESTADIA</t>
  </si>
  <si>
    <t xml:space="preserve"> 3.2.3.03.020</t>
  </si>
  <si>
    <t xml:space="preserve"> 3.2.3.03.021</t>
  </si>
  <si>
    <t xml:space="preserve"> 3.2.3.03.022</t>
  </si>
  <si>
    <t xml:space="preserve"> 3.2.3.03.026</t>
  </si>
  <si>
    <t xml:space="preserve"> 3.2.3.03.027</t>
  </si>
  <si>
    <t>SEGUROS CONT.ACIDENTE TRABALHO</t>
  </si>
  <si>
    <t xml:space="preserve"> 3.2.3.03.028</t>
  </si>
  <si>
    <t xml:space="preserve"> 3.2.3.03.030</t>
  </si>
  <si>
    <t xml:space="preserve"> 3.2.3.03.032</t>
  </si>
  <si>
    <t xml:space="preserve"> 3.2.3.03.033</t>
  </si>
  <si>
    <t xml:space="preserve"> 3.2.3.03.034</t>
  </si>
  <si>
    <t xml:space="preserve"> 3.2.3.03.035</t>
  </si>
  <si>
    <t>IOF</t>
  </si>
  <si>
    <t xml:space="preserve"> 3.2.3.03.037</t>
  </si>
  <si>
    <t>DESPESAS BANCÁRIAS</t>
  </si>
  <si>
    <t xml:space="preserve"> 3.2.3.03.038</t>
  </si>
  <si>
    <t xml:space="preserve"> 3.2.3.03.039</t>
  </si>
  <si>
    <t>MULTAS DEDUTIVEIS</t>
  </si>
  <si>
    <t xml:space="preserve"> 3.2.3.03.041</t>
  </si>
  <si>
    <t>PUBLICAÇÕES LEGAIS</t>
  </si>
  <si>
    <t xml:space="preserve"> 3.2.3.03.044</t>
  </si>
  <si>
    <t xml:space="preserve"> 3.2.3.03.045</t>
  </si>
  <si>
    <t xml:space="preserve"> 3.2.3.03.047</t>
  </si>
  <si>
    <t>TELEFÔNICAS/INTERNET</t>
  </si>
  <si>
    <t xml:space="preserve"> 3.2.3.03.048</t>
  </si>
  <si>
    <t xml:space="preserve"> 3.2.3.03.056</t>
  </si>
  <si>
    <t xml:space="preserve"> 3.2.3.03.057</t>
  </si>
  <si>
    <t xml:space="preserve"> 3.2.3.03.060</t>
  </si>
  <si>
    <t xml:space="preserve"> 3.2.3.03.062</t>
  </si>
  <si>
    <t>INDENIZAÇÕES DIVERSAS - P. FÍSICAS</t>
  </si>
  <si>
    <t xml:space="preserve"> 3.2.3.03.066</t>
  </si>
  <si>
    <t xml:space="preserve"> 3.2.3.03.068</t>
  </si>
  <si>
    <t>DESPESAS INDEDUTÍVEIS</t>
  </si>
  <si>
    <t xml:space="preserve"> 3.2.3.03.074</t>
  </si>
  <si>
    <t xml:space="preserve"> 3.2.3.03.076</t>
  </si>
  <si>
    <t xml:space="preserve"> 3.2.3.03.077</t>
  </si>
  <si>
    <t xml:space="preserve"> 3.2.3.03.078</t>
  </si>
  <si>
    <t xml:space="preserve"> 3.2.3.03.079</t>
  </si>
  <si>
    <t xml:space="preserve"> 3.2.3.03.080</t>
  </si>
  <si>
    <t xml:space="preserve"> 3.2.3.03.081</t>
  </si>
  <si>
    <t xml:space="preserve"> 3.2.3.03.082</t>
  </si>
  <si>
    <t xml:space="preserve"> 3.2.3.03.083</t>
  </si>
  <si>
    <t>DOAÇÃO</t>
  </si>
  <si>
    <t xml:space="preserve"> 3.2.3.03.084</t>
  </si>
  <si>
    <t>MULTAS INDEDUTIVEIS</t>
  </si>
  <si>
    <t xml:space="preserve"> 3.2.3.03.090</t>
  </si>
  <si>
    <t>TRANSFERÊNCIA DE CUSTO</t>
  </si>
  <si>
    <t xml:space="preserve"> 3.2.3.03.092</t>
  </si>
  <si>
    <t xml:space="preserve"> 3.2.3.03.102</t>
  </si>
  <si>
    <t>ASSISTENCIA MÉDICA</t>
  </si>
  <si>
    <t xml:space="preserve"> 3.2.3.03.109</t>
  </si>
  <si>
    <t>BRINDES</t>
  </si>
  <si>
    <t xml:space="preserve"> 3.2.3.04</t>
  </si>
  <si>
    <t xml:space="preserve"> 3.2.3.04.003</t>
  </si>
  <si>
    <t>JUROS PASSIVOS</t>
  </si>
  <si>
    <t xml:space="preserve"> 3.2.3.04.004</t>
  </si>
  <si>
    <t>VARIAÇÃO CAMBIAL PASSIVA</t>
  </si>
  <si>
    <t xml:space="preserve"> 3.2.3.04.006</t>
  </si>
  <si>
    <t>JUROS ATIVO</t>
  </si>
  <si>
    <t xml:space="preserve"> 3.2.3.04.008</t>
  </si>
  <si>
    <t>DESCONTOS OBTIDOS</t>
  </si>
  <si>
    <t xml:space="preserve"> 3.2.3.04.009</t>
  </si>
  <si>
    <t>VARIAÇÃO CAMBIAL ATIVA</t>
  </si>
  <si>
    <t xml:space="preserve"> 3.2.3.04.010</t>
  </si>
  <si>
    <t>RENDIMENTOS DE APLICAÇÕES FINANCEIRAS</t>
  </si>
  <si>
    <t xml:space="preserve"> 3.2.3.04.013</t>
  </si>
  <si>
    <t>DESCONTOS OBTIDOS - PROC. RECUPERAÇÃO JUDICIAL</t>
  </si>
  <si>
    <t xml:space="preserve"> 3.2.3.05</t>
  </si>
  <si>
    <t>OUTRAS RECEITAS E DESP. OPERACIONAIS</t>
  </si>
  <si>
    <t xml:space="preserve"> 3.2.3.05.007</t>
  </si>
  <si>
    <t xml:space="preserve"> 3.2.3.05.008</t>
  </si>
  <si>
    <t xml:space="preserve"> 3.2.3.05.009</t>
  </si>
  <si>
    <t xml:space="preserve"> 3.2.3.05.012</t>
  </si>
  <si>
    <t>OUTRAS RECEITAS</t>
  </si>
  <si>
    <t xml:space="preserve"> 3.2.3.05.030</t>
  </si>
  <si>
    <t>INCENTIVO FISCAL (CREDIDO PRESUMIDO ICMS)</t>
  </si>
  <si>
    <t xml:space="preserve"> 3.2.3.05.034</t>
  </si>
  <si>
    <t>DESPESAS CBIO - RENOVABIO</t>
  </si>
  <si>
    <t xml:space="preserve"> 3.2.3.05.035</t>
  </si>
  <si>
    <t>RECEITAS CBIO - RENOVABIO</t>
  </si>
  <si>
    <t xml:space="preserve"> 3.2.3.05.040</t>
  </si>
  <si>
    <t>CUSTO NA ALIENAÇÃO DE IMOVEIS</t>
  </si>
  <si>
    <t xml:space="preserve"> 3.2.3.05.042</t>
  </si>
  <si>
    <t>IMPOSTO DE RENDA EXCLUSIVO NA FONTE</t>
  </si>
  <si>
    <t xml:space="preserve"> 3.2.3.05.043</t>
  </si>
  <si>
    <t>DESPESAS ENTRESAFRA - IND/AGR</t>
  </si>
  <si>
    <t xml:space="preserve"> 3.2.3.06</t>
  </si>
  <si>
    <t>RESULTADOS NÃO OPERACIONAIS</t>
  </si>
  <si>
    <t xml:space="preserve"> 3.2.3.06.002</t>
  </si>
  <si>
    <t>RECEITA DA ALIENAÇÃO DE IMOBILIZADO</t>
  </si>
  <si>
    <t>S</t>
  </si>
  <si>
    <t>C</t>
  </si>
  <si>
    <t>SINTETICA</t>
  </si>
  <si>
    <t>CUSTO</t>
  </si>
  <si>
    <t>Balancete - Padrão - Fiscal</t>
  </si>
  <si>
    <t>Grupo Empresa: 1 - Santa Clotilde</t>
  </si>
  <si>
    <t>Empresa: 1 - USINA SANTA CLOTILDE</t>
  </si>
  <si>
    <t>Filial: 1 - USINA SANTA CLOTILDE S/A</t>
  </si>
  <si>
    <t>Form:  1016</t>
  </si>
  <si>
    <t>Conta</t>
  </si>
  <si>
    <t>Descrição</t>
  </si>
  <si>
    <t>Saldo Anterior</t>
  </si>
  <si>
    <t>Débitos</t>
  </si>
  <si>
    <t>Créditos</t>
  </si>
  <si>
    <t>Saldo Mensal</t>
  </si>
  <si>
    <t>Saldo</t>
  </si>
  <si>
    <t xml:space="preserve"> 3.1.1.05.002</t>
  </si>
  <si>
    <t>VENDAS DE ALMOXARIFADO</t>
  </si>
  <si>
    <t xml:space="preserve"> 3.2.2.02.007</t>
  </si>
  <si>
    <t>CMV -VENDA DE ALMOXARIFADO</t>
  </si>
  <si>
    <t xml:space="preserve"> 3.2.3.01.040</t>
  </si>
  <si>
    <t>SEGUROS GERAIS</t>
  </si>
  <si>
    <t xml:space="preserve"> 3.2.3.01.048</t>
  </si>
  <si>
    <t xml:space="preserve"> 3.2.3.02.017</t>
  </si>
  <si>
    <t xml:space="preserve"> 3.2.3.03.040</t>
  </si>
  <si>
    <t xml:space="preserve"> 3.2.3.03.085</t>
  </si>
  <si>
    <t>AJUSTE DE ESTOQUE</t>
  </si>
  <si>
    <t xml:space="preserve"> 3.2.3.05.052</t>
  </si>
  <si>
    <t>RECEITA S/GANHO DE PROCESSO JUDICIAL</t>
  </si>
  <si>
    <t>DESPESAS/RECEITAS Ñ RECORRENTE</t>
  </si>
  <si>
    <t>CUSTO DE OCIOSIDADE</t>
  </si>
  <si>
    <t>(-)CUSTOS DE OCIOSIDADE</t>
  </si>
  <si>
    <t>PROVISÃO PARA IR/CSLL</t>
  </si>
  <si>
    <t xml:space="preserve">DESPESAS/RECEITAS NÃO RECORRENTE </t>
  </si>
  <si>
    <t>RESULTADO LÍQUIDO - AJUSTADO</t>
  </si>
  <si>
    <t>ORDEM2</t>
  </si>
  <si>
    <t>147</t>
  </si>
  <si>
    <t>-</t>
  </si>
  <si>
    <t>RESULTADO DE EQUIVALÊNCIA PATRIMONIAL</t>
  </si>
  <si>
    <t xml:space="preserve"> 3.2.3.02.019</t>
  </si>
  <si>
    <t>DESPESAS COM VIAGENS E ESTADIAS</t>
  </si>
  <si>
    <t xml:space="preserve"> 3.2.3.02.038</t>
  </si>
  <si>
    <t xml:space="preserve"> 3.2.3.05.053</t>
  </si>
  <si>
    <t>CRÉDITO PIS</t>
  </si>
  <si>
    <t xml:space="preserve"> 3.2.3.05.054</t>
  </si>
  <si>
    <t>CRÉDITO COFINS</t>
  </si>
  <si>
    <t xml:space="preserve"> 3.2.3.05.031</t>
  </si>
  <si>
    <t>ESTORNO INCENTIVO FISCAL ( CREDITO PRESUMIDO ICMS)</t>
  </si>
  <si>
    <t xml:space="preserve"> 3.2.3.05.055</t>
  </si>
  <si>
    <t>BONIFICAÇÕES RECEBIDAS</t>
  </si>
  <si>
    <t xml:space="preserve"> 3.2.3.03.100</t>
  </si>
  <si>
    <t>HONORARIOS ADVOCATICIOS SOBRE PROCESSOS TRIBUTÁRIO</t>
  </si>
  <si>
    <t xml:space="preserve"> 3.2.2.02.004</t>
  </si>
  <si>
    <t>CPV - CANA DE AÇÚCAR</t>
  </si>
  <si>
    <t xml:space="preserve"> 3.2.3.01.053</t>
  </si>
  <si>
    <t>MATÉRIAS-PRIMAS DIVERSAS</t>
  </si>
  <si>
    <t xml:space="preserve"> 3.2.3.03.108</t>
  </si>
  <si>
    <t>CERTIFICADOS DIGITAIS</t>
  </si>
  <si>
    <t xml:space="preserve"> 3.2.3.05.036</t>
  </si>
  <si>
    <t>OUTRAS DESPESAS PROC. RJ</t>
  </si>
  <si>
    <t xml:space="preserve"> 3.1.1.06</t>
  </si>
  <si>
    <t>RECEITAS S/ SERVIÇOS</t>
  </si>
  <si>
    <t xml:space="preserve"> 3.1.1.06.002</t>
  </si>
  <si>
    <t>RECEITAS S/SERVIÇOS</t>
  </si>
  <si>
    <t xml:space="preserve"> 3.2.2.01.004</t>
  </si>
  <si>
    <t>ETANOL ANIDRO</t>
  </si>
  <si>
    <t xml:space="preserve"> 3.2.2.01.005</t>
  </si>
  <si>
    <t>ETANOL HIDRATADO</t>
  </si>
  <si>
    <t xml:space="preserve"> 3.2.3.01.059</t>
  </si>
  <si>
    <t>BIOMASSA</t>
  </si>
  <si>
    <t xml:space="preserve"> 3.2.3.01.063</t>
  </si>
  <si>
    <t>INDENIZAÇÕES DIVERSAS - P. JURÍDICA</t>
  </si>
  <si>
    <t xml:space="preserve"> 3.2.3.02.049</t>
  </si>
  <si>
    <t xml:space="preserve"> 3.2.3.02.115</t>
  </si>
  <si>
    <t>COMISSÕES VENDA DE ETANOL</t>
  </si>
  <si>
    <t xml:space="preserve"> 3.2.3.05.019</t>
  </si>
  <si>
    <t>ISS</t>
  </si>
  <si>
    <t xml:space="preserve"> 3.2.2.01.006</t>
  </si>
  <si>
    <t xml:space="preserve"> 3.2.3.03.063</t>
  </si>
  <si>
    <t xml:space="preserve"> 3.2.3.04.016</t>
  </si>
  <si>
    <t>VARIAÇÃO CAMBIAL PASSIVA S/NDF</t>
  </si>
  <si>
    <t xml:space="preserve"> 3.2.3.05.017</t>
  </si>
  <si>
    <t>INDENIZAÇÕES POR DANOS</t>
  </si>
  <si>
    <t xml:space="preserve"> 3.2.3.05.048</t>
  </si>
  <si>
    <t>COTA AMERICANA</t>
  </si>
  <si>
    <t xml:space="preserve"> 3.2.3.05.051</t>
  </si>
  <si>
    <t>RESULTADO EQUIVALÊNCIA PATRIMONIAL</t>
  </si>
  <si>
    <t xml:space="preserve"> 3.2.3.02.074</t>
  </si>
  <si>
    <t>RECUPERAÇÕES</t>
  </si>
  <si>
    <t xml:space="preserve"> 3.2.3.03.996</t>
  </si>
  <si>
    <t>PROVISÃO PARA PERDAS DE CRÉDITOS JURIDICOS</t>
  </si>
  <si>
    <t xml:space="preserve"> 3.2.3.03.997</t>
  </si>
  <si>
    <t>PROVISÃO PARA PERDAS DE CRÉDITOS</t>
  </si>
  <si>
    <t xml:space="preserve"> 3.2.3.05.024</t>
  </si>
  <si>
    <t>GANHOS / PERDA - AJUSTE DE ATIVO BIOLÓGICO</t>
  </si>
  <si>
    <t xml:space="preserve"> 3.2.3.02.057</t>
  </si>
  <si>
    <t xml:space="preserve"> 3.2.3.04.015</t>
  </si>
  <si>
    <t>VARIAÇÃO CAMBIAL ATIVA S/NDF</t>
  </si>
  <si>
    <t xml:space="preserve"> 3.2.3.06.004</t>
  </si>
  <si>
    <t>CUSTO NA ALIENAÇÃO DE IMOBILIZADO</t>
  </si>
  <si>
    <t xml:space="preserve"> 3.2.3.02.032</t>
  </si>
  <si>
    <t xml:space="preserve"> 3.2.3.03.049</t>
  </si>
  <si>
    <t xml:space="preserve"> 3.2.3.03.096</t>
  </si>
  <si>
    <t>MULTA</t>
  </si>
  <si>
    <t xml:space="preserve"> 3.2.3.04.017</t>
  </si>
  <si>
    <t>VARIAÇÃO PASSIVA</t>
  </si>
  <si>
    <t xml:space="preserve"> 3.2.3.05.056</t>
  </si>
  <si>
    <t>MULTA CONTRATUAL RECEBIDA</t>
  </si>
  <si>
    <t xml:space="preserve"> 3.2.3.05.057</t>
  </si>
  <si>
    <t>DÉBITOS TRIBUTÁRIOS RECONHECIDOS</t>
  </si>
  <si>
    <t xml:space="preserve"> 3.1.1.01.007</t>
  </si>
  <si>
    <t xml:space="preserve"> 3.2.3.04.018</t>
  </si>
  <si>
    <t>VARIAÇÃO ATIVA</t>
  </si>
  <si>
    <t xml:space="preserve"> 3.2.3.03.099</t>
  </si>
  <si>
    <t>ENCARGO LEGAIS SOBRE DÉBITOS TRIBUTÁRIOS</t>
  </si>
  <si>
    <t xml:space="preserve"> 3.2.3.03.112</t>
  </si>
  <si>
    <t>DESCONTOS TRANSAÇÃO PARCELAMENTOS</t>
  </si>
  <si>
    <t xml:space="preserve"> 3.2.3.04.019</t>
  </si>
  <si>
    <t>JUROS PASSIVOS - PARCELAMENTOS</t>
  </si>
  <si>
    <t xml:space="preserve"> 3.2.3.04.020</t>
  </si>
  <si>
    <t>DESCONTOS S/JUROS PASSIVOS - PARCELAMENTOS</t>
  </si>
  <si>
    <t xml:space="preserve"> 3.2.3.05.044</t>
  </si>
  <si>
    <t>DESÁGIO DE PARCELAMENTOS</t>
  </si>
  <si>
    <t xml:space="preserve"> 3.2.3.05.014</t>
  </si>
  <si>
    <t>OUTRAS DESPESAS</t>
  </si>
  <si>
    <t xml:space="preserve"> 3.2.3.02.114</t>
  </si>
  <si>
    <t>COMISSÕES VENDA DE AÇÚCAR</t>
  </si>
  <si>
    <t xml:space="preserve"> 3.2.3.04.001</t>
  </si>
  <si>
    <t>JUROS DE FIN.PASSIVO</t>
  </si>
  <si>
    <t xml:space="preserve"> 3.2.3.06.005</t>
  </si>
  <si>
    <t>RECEITA S.INDENIZACAO DE SOCARIA</t>
  </si>
  <si>
    <t xml:space="preserve"> 3.2.3.06.006</t>
  </si>
  <si>
    <t>CUSTO NA BAIXA DO PLANTIO</t>
  </si>
  <si>
    <t xml:space="preserve"> 3.2.3.05.015</t>
  </si>
  <si>
    <t xml:space="preserve"> 3.2.3.05.023</t>
  </si>
  <si>
    <t>RECEITA DE CRÉDITOS INDENIZATÓRIOS</t>
  </si>
  <si>
    <t xml:space="preserve"> 3.2.3.04.021</t>
  </si>
  <si>
    <t>JUROS S-CÉDULAS DE PRODUTO RURAL</t>
  </si>
  <si>
    <t xml:space="preserve"> 3.2.3.04.022</t>
  </si>
  <si>
    <t>VARIAÇÃO CAMBIAL ATIVA S-CÉDULAS DE PRODUTO RURAL</t>
  </si>
  <si>
    <t>Data:  03/12/2025</t>
  </si>
  <si>
    <t>Hora:  09:07:30</t>
  </si>
  <si>
    <t>Conta contábil:  0 à 0</t>
  </si>
  <si>
    <t xml:space="preserve"> 3.2.3.01.068</t>
  </si>
  <si>
    <t xml:space="preserve"> 3.2.3.04.023</t>
  </si>
  <si>
    <t>VARIAÇÃO CAMBIAL PASSIVA S-CÉDULA DE PRODUTO RURAL</t>
  </si>
  <si>
    <t xml:space="preserve"> 3.2.3.05.058</t>
  </si>
  <si>
    <t>CRÉDITO PRESUMIDO PIS/COFINS CANA DE AÇÚCAR</t>
  </si>
  <si>
    <t xml:space="preserve"> 3.1.1.01.004</t>
  </si>
  <si>
    <t>AÇÚCAR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</si>
</sst>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,###,###,###,##0.00"/>
    <numFmt numFmtId="165" formatCode="_-* #,##0_-;\-* #,##0_-;_-* &quot;-&quot;??_-;_-@_-"/>
    <numFmt numFmtId="166" formatCode="mm/yyyy"/>
    <numFmt numFmtId="167" formatCode="_(* #,##0_);_(* \(#,##0\);_(* \-_);_(@_)"/>
  </numFmts>
  <fonts count="1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mbria"/>
      <family val="1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6" fillId="0" borderId="0"/>
    <xf numFmtId="0" fontId="12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4" fillId="0" borderId="0"/>
  </cellStyleXfs>
  <cellXfs count="61"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0" fontId="7" fillId="0" borderId="0" xfId="2"/>
    <xf numFmtId="49" fontId="7" fillId="0" borderId="0" xfId="2" applyNumberFormat="1"/>
    <xf numFmtId="0" fontId="8" fillId="0" borderId="0" xfId="0" applyFont="1"/>
    <xf numFmtId="0" fontId="9" fillId="0" borderId="2" xfId="0" applyFont="1" applyBorder="1"/>
    <xf numFmtId="0" fontId="6" fillId="0" borderId="0" xfId="3"/>
    <xf numFmtId="49" fontId="6" fillId="0" borderId="0" xfId="3" applyNumberFormat="1"/>
    <xf numFmtId="3" fontId="9" fillId="0" borderId="0" xfId="1" applyNumberFormat="1" applyFont="1" applyFill="1" applyAlignment="1">
      <alignment horizontal="right"/>
    </xf>
    <xf numFmtId="0" fontId="0" fillId="0" borderId="1" xfId="0" applyBorder="1"/>
    <xf numFmtId="166" fontId="0" fillId="0" borderId="1" xfId="1" applyNumberFormat="1" applyFont="1" applyFill="1" applyBorder="1"/>
    <xf numFmtId="43" fontId="0" fillId="0" borderId="1" xfId="1" applyFont="1" applyFill="1" applyBorder="1"/>
    <xf numFmtId="49" fontId="0" fillId="0" borderId="1" xfId="0" applyNumberFormat="1" applyBorder="1"/>
    <xf numFmtId="165" fontId="8" fillId="0" borderId="0" xfId="1" applyNumberFormat="1" applyFont="1" applyFill="1" applyAlignment="1">
      <alignment horizontal="right" vertical="top"/>
    </xf>
    <xf numFmtId="3" fontId="8" fillId="0" borderId="0" xfId="1" applyNumberFormat="1" applyFont="1" applyFill="1" applyAlignment="1">
      <alignment horizontal="right" vertical="top"/>
    </xf>
    <xf numFmtId="3" fontId="10" fillId="0" borderId="0" xfId="1" applyNumberFormat="1" applyFont="1" applyFill="1"/>
    <xf numFmtId="165" fontId="10" fillId="0" borderId="0" xfId="1" applyNumberFormat="1" applyFont="1" applyFill="1"/>
    <xf numFmtId="49" fontId="10" fillId="0" borderId="0" xfId="0" applyNumberFormat="1" applyFont="1"/>
    <xf numFmtId="1" fontId="10" fillId="0" borderId="0" xfId="1" applyNumberFormat="1" applyFont="1" applyFill="1" applyAlignment="1">
      <alignment horizontal="right" vertical="top"/>
    </xf>
    <xf numFmtId="165" fontId="0" fillId="0" borderId="0" xfId="0" applyNumberFormat="1"/>
    <xf numFmtId="165" fontId="10" fillId="0" borderId="0" xfId="1" applyNumberFormat="1" applyFont="1" applyFill="1" applyAlignment="1">
      <alignment horizontal="right" vertical="top"/>
    </xf>
    <xf numFmtId="49" fontId="10" fillId="0" borderId="0" xfId="1" applyNumberFormat="1" applyFont="1" applyFill="1" applyAlignment="1">
      <alignment horizontal="right" vertical="top"/>
    </xf>
    <xf numFmtId="0" fontId="8" fillId="0" borderId="2" xfId="0" applyFont="1" applyBorder="1"/>
    <xf numFmtId="165" fontId="9" fillId="0" borderId="0" xfId="1" applyNumberFormat="1" applyFont="1" applyFill="1"/>
    <xf numFmtId="3" fontId="9" fillId="0" borderId="0" xfId="0" applyNumberFormat="1" applyFont="1"/>
    <xf numFmtId="167" fontId="13" fillId="0" borderId="0" xfId="4" applyNumberFormat="1" applyFont="1" applyAlignment="1">
      <alignment horizontal="right" vertical="center" wrapText="1"/>
    </xf>
    <xf numFmtId="0" fontId="8" fillId="0" borderId="0" xfId="0" applyFont="1" applyAlignment="1">
      <alignment vertical="top"/>
    </xf>
    <xf numFmtId="49" fontId="8" fillId="0" borderId="0" xfId="0" applyNumberFormat="1" applyFont="1"/>
    <xf numFmtId="49" fontId="9" fillId="0" borderId="0" xfId="1" applyNumberFormat="1" applyFont="1" applyFill="1" applyAlignment="1">
      <alignment horizontal="right" vertical="top"/>
    </xf>
    <xf numFmtId="43" fontId="8" fillId="0" borderId="0" xfId="1" applyFont="1" applyFill="1"/>
    <xf numFmtId="43" fontId="0" fillId="0" borderId="0" xfId="1" applyFont="1" applyFill="1"/>
    <xf numFmtId="0" fontId="6" fillId="0" borderId="0" xfId="5"/>
    <xf numFmtId="49" fontId="6" fillId="0" borderId="0" xfId="5" applyNumberFormat="1"/>
    <xf numFmtId="0" fontId="5" fillId="0" borderId="0" xfId="6"/>
    <xf numFmtId="49" fontId="5" fillId="0" borderId="0" xfId="6" applyNumberFormat="1"/>
    <xf numFmtId="0" fontId="4" fillId="0" borderId="0" xfId="7"/>
    <xf numFmtId="49" fontId="4" fillId="0" borderId="0" xfId="7" applyNumberFormat="1"/>
    <xf numFmtId="0" fontId="0" fillId="2" borderId="0" xfId="0" applyFill="1"/>
    <xf numFmtId="0" fontId="3" fillId="0" borderId="0" xfId="8"/>
    <xf numFmtId="49" fontId="3" fillId="0" borderId="0" xfId="8" applyNumberFormat="1"/>
    <xf numFmtId="0" fontId="2" fillId="0" borderId="0" xfId="9"/>
    <xf numFmtId="49" fontId="2" fillId="0" borderId="0" xfId="9" applyNumberFormat="1"/>
    <xf numFmtId="49" fontId="7" fillId="2" borderId="0" xfId="2" applyNumberFormat="1" applyFill="1"/>
    <xf numFmtId="0" fontId="7" fillId="2" borderId="0" xfId="2" applyFill="1"/>
    <xf numFmtId="0" fontId="9" fillId="2" borderId="2" xfId="0" applyFont="1" applyFill="1" applyBorder="1"/>
    <xf numFmtId="0" fontId="1" fillId="0" borderId="0" xfId="10"/>
    <xf numFmtId="49" fontId="1" fillId="0" borderId="0" xfId="10" applyNumberFormat="1"/>
    <xf numFmtId="0" fontId="14" fillId="0" borderId="0" xfId="11"/>
    <xf numFmtId="0" fontId="0" fillId="0" borderId="8" xfId="0" applyBorder="1"/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164" fontId="0" fillId="0" borderId="0" xfId="0" applyNumberFormat="1"/>
    <xf numFmtId="0" fontId="15" fillId="0" borderId="8" xfId="0" applyFont="1" applyBorder="1"/>
    <xf numFmtId="0" fontId="8" fillId="0" borderId="0" xfId="0" applyFont="1" applyAlignment="1">
      <alignment horizontal="center"/>
    </xf>
    <xf numFmtId="164" fontId="16" fillId="0" borderId="0" xfId="0" applyNumberFormat="1" applyFont="1"/>
  </cellXfs>
  <cellStyles count="12">
    <cellStyle name="Normal" xfId="0" builtinId="0"/>
    <cellStyle name="Normal 10" xfId="10" xr:uid="{868EEAE0-7810-4837-A9EF-453FFED54289}"/>
    <cellStyle name="Normal 11" xfId="11" xr:uid="{23A7533B-65BF-4686-A052-75E290190E85}"/>
    <cellStyle name="Normal 2" xfId="2" xr:uid="{0AC2BE10-50DB-4111-8D95-475037A65716}"/>
    <cellStyle name="Normal 3" xfId="3" xr:uid="{FAC9C6B6-F8E1-4688-A5BC-904AC90DF01C}"/>
    <cellStyle name="Normal 4" xfId="4" xr:uid="{690BE458-4886-4C07-A992-D277E491F8F3}"/>
    <cellStyle name="Normal 5" xfId="6" xr:uid="{3C573E29-2172-4195-87B3-F6E7AC50B589}"/>
    <cellStyle name="Normal 6" xfId="5" xr:uid="{9707589C-2B2D-4DF1-9903-49C9C7ADEA22}"/>
    <cellStyle name="Normal 7" xfId="7" xr:uid="{668FAFEE-CE1F-4299-AF81-0742CFD9DE01}"/>
    <cellStyle name="Normal 8" xfId="8" xr:uid="{BEB774AD-7D39-42A2-95DB-249F21A335F8}"/>
    <cellStyle name="Normal 9" xfId="9" xr:uid="{96747FE8-DD9A-460B-B994-84381A137CB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selection activeCell="C1" sqref="C1:C1048576"/>
    </sheetView>
  </sheetViews>
  <sheetFormatPr defaultRowHeight="15.75" customHeight="1" x14ac:dyDescent="0.25"/>
  <cols>
    <col min="2" max="2" width="60.28515625" bestFit="1" customWidth="1"/>
    <col min="3" max="5" width="15.28515625" style="33" bestFit="1" customWidth="1"/>
    <col min="6" max="6" width="14.5703125" customWidth="1"/>
    <col min="7" max="7" width="12.140625" style="33" customWidth="1"/>
    <col min="8" max="8" width="11.5703125" bestFit="1" customWidth="1"/>
    <col min="9" max="11" width="9.140625" customWidth="1"/>
  </cols>
  <sheetData>
    <row r="1" spans="1:14" ht="15.75" customHeight="1" x14ac:dyDescent="0.25">
      <c r="A1" s="3" t="s">
        <v>23</v>
      </c>
      <c r="B1" s="12" t="s">
        <v>0</v>
      </c>
      <c r="C1" s="13">
        <v>46113</v>
      </c>
      <c r="D1" s="13">
        <v>46022</v>
      </c>
      <c r="E1" s="13">
        <v>45657</v>
      </c>
      <c r="F1" s="12">
        <v>2023</v>
      </c>
      <c r="G1" s="14" t="s">
        <v>1</v>
      </c>
      <c r="H1" s="15" t="s">
        <v>2</v>
      </c>
      <c r="I1" s="15" t="s">
        <v>3</v>
      </c>
      <c r="J1" s="15" t="s">
        <v>4</v>
      </c>
      <c r="K1" s="15" t="s">
        <v>5</v>
      </c>
      <c r="L1" s="3" t="s">
        <v>408</v>
      </c>
    </row>
    <row r="2" spans="1:14" ht="15.75" customHeight="1" x14ac:dyDescent="0.25">
      <c r="A2">
        <v>1</v>
      </c>
      <c r="B2" s="4" t="s">
        <v>6</v>
      </c>
      <c r="C2" s="16">
        <f>-SUMIF(Planilha1!H:H,Export!A2,Planilha1!G:G)/1000</f>
        <v>66782.783420000007</v>
      </c>
      <c r="D2" s="16">
        <v>183977.59916000001</v>
      </c>
      <c r="E2" s="16">
        <v>325769.23127000005</v>
      </c>
      <c r="F2" s="17">
        <v>352873.28</v>
      </c>
      <c r="G2" s="18">
        <v>271388.61</v>
      </c>
      <c r="H2" s="19">
        <v>237370.64</v>
      </c>
      <c r="I2" s="20" t="s">
        <v>24</v>
      </c>
      <c r="J2" s="20" t="s">
        <v>25</v>
      </c>
      <c r="K2" s="20" t="s">
        <v>26</v>
      </c>
      <c r="L2">
        <v>1</v>
      </c>
    </row>
    <row r="3" spans="1:14" ht="15.75" customHeight="1" x14ac:dyDescent="0.25">
      <c r="A3">
        <v>2</v>
      </c>
      <c r="B3" s="1" t="s">
        <v>7</v>
      </c>
      <c r="C3" s="16">
        <f>C2</f>
        <v>66782.783420000007</v>
      </c>
      <c r="D3" s="16">
        <v>183977.59916000001</v>
      </c>
      <c r="E3" s="16">
        <v>325769.23127000005</v>
      </c>
      <c r="F3" s="17">
        <v>352873</v>
      </c>
      <c r="G3" s="18">
        <v>271389</v>
      </c>
      <c r="H3" s="19">
        <v>237370.64</v>
      </c>
      <c r="I3" s="20" t="s">
        <v>24</v>
      </c>
      <c r="J3" s="20" t="s">
        <v>25</v>
      </c>
      <c r="K3" s="20" t="s">
        <v>26</v>
      </c>
      <c r="L3">
        <v>2</v>
      </c>
    </row>
    <row r="4" spans="1:14" ht="15.75" customHeight="1" x14ac:dyDescent="0.25">
      <c r="A4">
        <v>3</v>
      </c>
      <c r="B4" s="4" t="s">
        <v>8</v>
      </c>
      <c r="C4" s="16">
        <f>-SUMIF(Planilha1!H:H,Export!A4,Planilha1!G:G)/1000</f>
        <v>-236.92765999999921</v>
      </c>
      <c r="D4" s="16">
        <v>-10820.206029999999</v>
      </c>
      <c r="E4" s="16">
        <v>-2228.2526300000009</v>
      </c>
      <c r="F4" s="21">
        <f>-503.5638</f>
        <v>-503.56380000000001</v>
      </c>
      <c r="G4" s="18">
        <v>-2584</v>
      </c>
      <c r="H4" s="19">
        <v>-577.12</v>
      </c>
      <c r="I4" s="20" t="s">
        <v>27</v>
      </c>
      <c r="J4" s="20" t="s">
        <v>28</v>
      </c>
      <c r="K4" s="20" t="s">
        <v>29</v>
      </c>
      <c r="L4">
        <v>3</v>
      </c>
      <c r="N4" s="22"/>
    </row>
    <row r="5" spans="1:14" ht="15.75" hidden="1" customHeight="1" x14ac:dyDescent="0.25">
      <c r="A5">
        <v>4</v>
      </c>
      <c r="B5" s="1" t="s">
        <v>9</v>
      </c>
      <c r="C5" s="23"/>
      <c r="D5" s="23"/>
      <c r="E5" s="23">
        <v>-2228.2526300000009</v>
      </c>
      <c r="F5" s="24" t="s">
        <v>53</v>
      </c>
      <c r="G5" s="18">
        <v>2584</v>
      </c>
      <c r="H5" s="19">
        <v>577</v>
      </c>
      <c r="I5" s="20" t="s">
        <v>27</v>
      </c>
      <c r="J5" s="20" t="s">
        <v>28</v>
      </c>
      <c r="K5" s="20" t="s">
        <v>29</v>
      </c>
      <c r="L5">
        <v>4</v>
      </c>
    </row>
    <row r="6" spans="1:14" ht="15.75" customHeight="1" x14ac:dyDescent="0.25">
      <c r="A6">
        <v>5</v>
      </c>
      <c r="B6" s="1" t="s">
        <v>10</v>
      </c>
      <c r="C6" s="16">
        <f>C2+C4</f>
        <v>66545.855760000006</v>
      </c>
      <c r="D6" s="16">
        <v>173157.39313000001</v>
      </c>
      <c r="E6" s="16">
        <v>323540.97864000004</v>
      </c>
      <c r="F6" s="16">
        <f>F2+F4</f>
        <v>352369.71620000002</v>
      </c>
      <c r="G6" s="16">
        <f>G2+G4</f>
        <v>268804.61</v>
      </c>
      <c r="H6" s="16">
        <f>H2+H4</f>
        <v>236793.52000000002</v>
      </c>
      <c r="I6" s="20" t="s">
        <v>30</v>
      </c>
      <c r="J6" s="20" t="s">
        <v>31</v>
      </c>
      <c r="K6" s="20" t="s">
        <v>32</v>
      </c>
      <c r="L6">
        <v>5</v>
      </c>
    </row>
    <row r="7" spans="1:14" ht="15.75" customHeight="1" x14ac:dyDescent="0.25">
      <c r="A7">
        <v>6</v>
      </c>
      <c r="B7" s="1" t="s">
        <v>11</v>
      </c>
      <c r="C7" s="16">
        <f>-SUMIF(Planilha1!H:H,Export!A7,Planilha1!G:G)/1000</f>
        <v>-79975.317509999993</v>
      </c>
      <c r="D7" s="16">
        <v>-197381.21065000002</v>
      </c>
      <c r="E7" s="16">
        <v>-275281.45844999998</v>
      </c>
      <c r="F7" s="17">
        <v>-257478.62</v>
      </c>
      <c r="G7" s="18">
        <v>-196795.18</v>
      </c>
      <c r="H7" s="19">
        <v>-167565</v>
      </c>
      <c r="I7" s="20" t="s">
        <v>33</v>
      </c>
      <c r="J7" s="20" t="s">
        <v>34</v>
      </c>
      <c r="K7" s="20" t="s">
        <v>35</v>
      </c>
      <c r="L7">
        <v>6</v>
      </c>
    </row>
    <row r="8" spans="1:14" ht="15.75" hidden="1" customHeight="1" x14ac:dyDescent="0.25">
      <c r="A8">
        <v>7</v>
      </c>
      <c r="B8" s="1" t="s">
        <v>12</v>
      </c>
      <c r="C8" s="16"/>
      <c r="D8" s="16"/>
      <c r="E8" s="16">
        <v>-275281.45844999998</v>
      </c>
      <c r="F8" s="17">
        <v>257479</v>
      </c>
      <c r="G8" s="18">
        <v>196795</v>
      </c>
      <c r="H8" s="19">
        <v>167565</v>
      </c>
      <c r="I8" s="20" t="s">
        <v>33</v>
      </c>
      <c r="J8" s="20" t="s">
        <v>34</v>
      </c>
      <c r="K8" s="20" t="s">
        <v>35</v>
      </c>
      <c r="L8">
        <v>7</v>
      </c>
    </row>
    <row r="9" spans="1:14" ht="15.75" customHeight="1" x14ac:dyDescent="0.25">
      <c r="A9">
        <v>21</v>
      </c>
      <c r="B9" s="4" t="s">
        <v>404</v>
      </c>
      <c r="C9" s="16">
        <f>-SUMIF(Planilha1!H:H,Export!A9,Planilha1!G:G)/1000</f>
        <v>0</v>
      </c>
      <c r="D9" s="16">
        <v>0</v>
      </c>
      <c r="E9" s="16">
        <v>0</v>
      </c>
      <c r="F9" s="16">
        <v>-36063.360000000001</v>
      </c>
      <c r="G9" s="16">
        <f>-27967.178</f>
        <v>-27967.178</v>
      </c>
      <c r="H9" s="19"/>
      <c r="I9" s="20"/>
      <c r="J9" s="20"/>
      <c r="K9" s="20"/>
      <c r="L9">
        <v>8</v>
      </c>
    </row>
    <row r="10" spans="1:14" ht="15.75" customHeight="1" x14ac:dyDescent="0.25">
      <c r="A10">
        <v>8</v>
      </c>
      <c r="B10" s="4" t="s">
        <v>13</v>
      </c>
      <c r="C10" s="16">
        <f>C6+C7+C9</f>
        <v>-13429.461749999988</v>
      </c>
      <c r="D10" s="16">
        <v>-24223.817520000011</v>
      </c>
      <c r="E10" s="16">
        <v>48259.520190000068</v>
      </c>
      <c r="F10" s="16">
        <f>F6+F7+F9</f>
        <v>58827.736200000028</v>
      </c>
      <c r="G10" s="16">
        <f>G6+G7+G9</f>
        <v>44042.251999999993</v>
      </c>
      <c r="H10" s="16">
        <f>H6+H7+H9</f>
        <v>69228.520000000019</v>
      </c>
      <c r="I10" s="20" t="s">
        <v>36</v>
      </c>
      <c r="J10" s="20" t="s">
        <v>37</v>
      </c>
      <c r="K10" s="20" t="s">
        <v>38</v>
      </c>
      <c r="L10">
        <v>9</v>
      </c>
    </row>
    <row r="11" spans="1:14" ht="15.75" customHeight="1" x14ac:dyDescent="0.25">
      <c r="A11">
        <v>9</v>
      </c>
      <c r="B11" s="4" t="s">
        <v>14</v>
      </c>
      <c r="C11" s="16">
        <f>SUM(C12:C16)</f>
        <v>-10486.524009999997</v>
      </c>
      <c r="D11" s="16">
        <v>-21196.787099999994</v>
      </c>
      <c r="E11" s="16">
        <v>-22733.224380000003</v>
      </c>
      <c r="F11" s="16">
        <f>SUM(F12:F16)</f>
        <v>-36151.239999999991</v>
      </c>
      <c r="G11" s="16">
        <f>SUM(G12:G16)</f>
        <v>-1464.7284799999761</v>
      </c>
      <c r="H11" s="16">
        <f>SUM(H12:H16)</f>
        <v>127493.42981</v>
      </c>
      <c r="I11" s="20" t="s">
        <v>39</v>
      </c>
      <c r="J11" s="20" t="s">
        <v>40</v>
      </c>
      <c r="K11" s="20" t="s">
        <v>41</v>
      </c>
      <c r="L11">
        <v>10</v>
      </c>
    </row>
    <row r="12" spans="1:14" ht="15.75" customHeight="1" x14ac:dyDescent="0.25">
      <c r="A12">
        <v>10</v>
      </c>
      <c r="B12" s="25" t="s">
        <v>15</v>
      </c>
      <c r="C12" s="16">
        <f>-SUMIF(Planilha1!H:H,Export!A12,Planilha1!G:G)/1000</f>
        <v>-2896.0713500000002</v>
      </c>
      <c r="D12" s="16">
        <v>-10072.414939999997</v>
      </c>
      <c r="E12" s="16">
        <v>-11604.987860000001</v>
      </c>
      <c r="F12" s="11">
        <v>-13405.3</v>
      </c>
      <c r="G12" s="26">
        <v>-8936.14</v>
      </c>
      <c r="H12" s="26">
        <v>-6556.16</v>
      </c>
      <c r="I12" s="27">
        <v>7267</v>
      </c>
      <c r="J12" s="27">
        <v>4364</v>
      </c>
      <c r="K12" s="27">
        <v>4072</v>
      </c>
      <c r="L12">
        <v>11</v>
      </c>
    </row>
    <row r="13" spans="1:14" ht="15.75" customHeight="1" x14ac:dyDescent="0.25">
      <c r="A13">
        <v>11</v>
      </c>
      <c r="B13" s="25" t="s">
        <v>16</v>
      </c>
      <c r="C13" s="16">
        <f>-SUMIF(Planilha1!H:H,Export!A13,Planilha1!G:G)/1000</f>
        <v>-7856.7716299999975</v>
      </c>
      <c r="D13" s="16">
        <v>-23424.206990000002</v>
      </c>
      <c r="E13" s="16">
        <v>-28714.967349999995</v>
      </c>
      <c r="F13" s="11">
        <v>-24353.46</v>
      </c>
      <c r="G13" s="26">
        <v>-22928.42</v>
      </c>
      <c r="H13" s="26">
        <v>-18193.150000000001</v>
      </c>
      <c r="I13" s="27">
        <v>13888</v>
      </c>
      <c r="J13" s="27">
        <v>12700</v>
      </c>
      <c r="K13" s="27">
        <v>18926</v>
      </c>
      <c r="L13">
        <v>12</v>
      </c>
    </row>
    <row r="14" spans="1:14" ht="15.75" customHeight="1" x14ac:dyDescent="0.25">
      <c r="A14">
        <v>12</v>
      </c>
      <c r="B14" s="25" t="s">
        <v>52</v>
      </c>
      <c r="C14" s="16">
        <f>-SUMIF(Planilha1!H:H,Export!A14,Planilha1!G:G)/1000</f>
        <v>435.34792999999996</v>
      </c>
      <c r="D14" s="16">
        <v>600.92124000000001</v>
      </c>
      <c r="E14" s="16">
        <v>5060.6991199999993</v>
      </c>
      <c r="F14" s="11">
        <f>-34455.84+36063.36-1834444.31/1000</f>
        <v>-226.92430999999601</v>
      </c>
      <c r="G14" s="26">
        <f>--57157+27967-0.18-79201.28986</f>
        <v>5922.5301400000026</v>
      </c>
      <c r="H14" s="26">
        <f>154481-(140390228.75)/1000</f>
        <v>14090.771249999991</v>
      </c>
      <c r="I14" s="27">
        <v>-1551</v>
      </c>
      <c r="J14" s="27">
        <v>-3311</v>
      </c>
      <c r="K14" s="27">
        <v>-20836</v>
      </c>
      <c r="L14">
        <v>13</v>
      </c>
    </row>
    <row r="15" spans="1:14" ht="15.75" customHeight="1" x14ac:dyDescent="0.25">
      <c r="A15">
        <v>23</v>
      </c>
      <c r="B15" t="s">
        <v>411</v>
      </c>
      <c r="C15" s="16">
        <f>-SUMIF(Planilha1!H:H,Export!A15,Planilha1!G:G)/1000</f>
        <v>0</v>
      </c>
      <c r="D15" s="16">
        <v>4849.9783200000002</v>
      </c>
      <c r="E15" s="16">
        <v>3445.7249300000003</v>
      </c>
      <c r="F15" s="11">
        <f>1834444.31/1000</f>
        <v>1834.4443100000001</v>
      </c>
      <c r="G15" s="26">
        <v>0</v>
      </c>
      <c r="H15" s="26">
        <v>0</v>
      </c>
      <c r="I15" s="27">
        <v>0</v>
      </c>
      <c r="J15" s="27">
        <v>0</v>
      </c>
      <c r="K15" s="27">
        <v>0</v>
      </c>
      <c r="L15">
        <v>14</v>
      </c>
    </row>
    <row r="16" spans="1:14" ht="15.75" customHeight="1" x14ac:dyDescent="0.25">
      <c r="A16">
        <v>20</v>
      </c>
      <c r="B16" s="7" t="s">
        <v>406</v>
      </c>
      <c r="C16" s="16">
        <f>-SUMIF(Planilha1!H:H,Export!A16,Planilha1!G:G)/1000</f>
        <v>-169.02895999999998</v>
      </c>
      <c r="D16" s="16">
        <v>6848.9352700000009</v>
      </c>
      <c r="E16" s="16">
        <v>9080.306779999999</v>
      </c>
      <c r="F16" s="11">
        <v>0</v>
      </c>
      <c r="G16" s="28">
        <f>-(36199786.06+33088827.87+5476961.94+6650705.96)/1000+160617571.69/1000-54723.98848</f>
        <v>24477.301380000019</v>
      </c>
      <c r="H16" s="26">
        <f>(140390228.75)/1000+22430000/1000+(-8228699.15-5305343.2)/1000-11134217.84/1000</f>
        <v>138151.96856000001</v>
      </c>
      <c r="I16" s="27">
        <v>0</v>
      </c>
      <c r="J16" s="27">
        <v>0</v>
      </c>
      <c r="K16" s="27">
        <v>0</v>
      </c>
      <c r="L16">
        <v>15</v>
      </c>
    </row>
    <row r="17" spans="1:12" s="7" customFormat="1" ht="15.75" customHeight="1" x14ac:dyDescent="0.25">
      <c r="A17" s="7">
        <v>13</v>
      </c>
      <c r="B17" s="29" t="s">
        <v>17</v>
      </c>
      <c r="C17" s="16">
        <f>C10+C11</f>
        <v>-23915.985759999985</v>
      </c>
      <c r="D17" s="16">
        <v>-45420.604620000006</v>
      </c>
      <c r="E17" s="16">
        <v>25526.295810000065</v>
      </c>
      <c r="F17" s="16">
        <f>F10+F11</f>
        <v>22676.496200000038</v>
      </c>
      <c r="G17" s="16">
        <f>G10+G11</f>
        <v>42577.523520000017</v>
      </c>
      <c r="H17" s="16">
        <f>H10+H11</f>
        <v>196721.94981000002</v>
      </c>
      <c r="I17" s="30" t="s">
        <v>42</v>
      </c>
      <c r="J17" s="30" t="s">
        <v>43</v>
      </c>
      <c r="K17" s="30" t="s">
        <v>44</v>
      </c>
      <c r="L17">
        <v>16</v>
      </c>
    </row>
    <row r="18" spans="1:12" ht="15.75" customHeight="1" x14ac:dyDescent="0.25">
      <c r="A18">
        <v>14</v>
      </c>
      <c r="B18" s="4" t="s">
        <v>18</v>
      </c>
      <c r="C18" s="16">
        <f>-SUMIF(Planilha1!H:H,Export!A18,Planilha1!G:G)/1000</f>
        <v>-3898.9235700000004</v>
      </c>
      <c r="D18" s="16">
        <v>-13173.99727</v>
      </c>
      <c r="E18" s="16">
        <v>-10560.316069999999</v>
      </c>
      <c r="F18" s="11">
        <v>-12486.76</v>
      </c>
      <c r="G18" s="18">
        <f>-61428.12+54723.98848</f>
        <v>-6704.1315200000026</v>
      </c>
      <c r="H18" s="19">
        <f>-31030.5-((-8228699.15-5305343.2)/1000-11134217.84/1000)</f>
        <v>-6362.2398099999991</v>
      </c>
      <c r="I18" s="20" t="s">
        <v>45</v>
      </c>
      <c r="J18" s="20" t="s">
        <v>46</v>
      </c>
      <c r="K18" s="20" t="s">
        <v>47</v>
      </c>
      <c r="L18">
        <v>17</v>
      </c>
    </row>
    <row r="19" spans="1:12" ht="15.75" hidden="1" customHeight="1" x14ac:dyDescent="0.25">
      <c r="A19">
        <v>15</v>
      </c>
      <c r="B19" s="1" t="s">
        <v>19</v>
      </c>
      <c r="C19" s="16"/>
      <c r="D19" s="16"/>
      <c r="E19" s="16">
        <v>2938.19713</v>
      </c>
      <c r="F19" s="31" t="s">
        <v>54</v>
      </c>
      <c r="G19" s="18">
        <v>61428</v>
      </c>
      <c r="H19" s="19">
        <v>31031</v>
      </c>
      <c r="I19" s="20" t="s">
        <v>45</v>
      </c>
      <c r="J19" s="20" t="s">
        <v>46</v>
      </c>
      <c r="K19" s="20" t="s">
        <v>47</v>
      </c>
      <c r="L19">
        <v>17</v>
      </c>
    </row>
    <row r="20" spans="1:12" ht="15.75" customHeight="1" x14ac:dyDescent="0.25">
      <c r="A20">
        <v>16</v>
      </c>
      <c r="B20" s="4" t="s">
        <v>20</v>
      </c>
      <c r="C20" s="16">
        <f>C17+C18</f>
        <v>-27814.909329999984</v>
      </c>
      <c r="D20" s="16">
        <v>-58594.601890000005</v>
      </c>
      <c r="E20" s="16">
        <v>14965.979740000066</v>
      </c>
      <c r="F20" s="16">
        <f>F17+F18</f>
        <v>10189.736200000038</v>
      </c>
      <c r="G20" s="16">
        <f>G17+G18</f>
        <v>35873.392000000014</v>
      </c>
      <c r="H20" s="16">
        <f>H17+H18</f>
        <v>190359.71000000002</v>
      </c>
      <c r="I20" s="20" t="s">
        <v>48</v>
      </c>
      <c r="J20" s="20" t="s">
        <v>50</v>
      </c>
      <c r="K20" s="20" t="s">
        <v>51</v>
      </c>
      <c r="L20">
        <v>18</v>
      </c>
    </row>
    <row r="21" spans="1:12" ht="15.75" customHeight="1" x14ac:dyDescent="0.25">
      <c r="A21">
        <v>17</v>
      </c>
      <c r="B21" s="2" t="s">
        <v>21</v>
      </c>
      <c r="C21" s="16">
        <v>0</v>
      </c>
      <c r="D21" s="16">
        <v>0</v>
      </c>
      <c r="E21" s="16">
        <v>0</v>
      </c>
      <c r="F21" s="24">
        <v>0</v>
      </c>
      <c r="G21" s="32">
        <v>0</v>
      </c>
      <c r="H21" s="19">
        <v>728</v>
      </c>
      <c r="I21" s="30" t="s">
        <v>409</v>
      </c>
      <c r="J21" s="30">
        <v>0</v>
      </c>
      <c r="K21" s="30">
        <v>0</v>
      </c>
      <c r="L21">
        <v>19</v>
      </c>
    </row>
    <row r="22" spans="1:12" ht="15" x14ac:dyDescent="0.25">
      <c r="A22">
        <v>23</v>
      </c>
      <c r="B22" s="2" t="s">
        <v>405</v>
      </c>
      <c r="C22" s="16" t="s">
        <v>410</v>
      </c>
      <c r="D22" s="16" t="s">
        <v>410</v>
      </c>
      <c r="E22" s="16" t="s">
        <v>410</v>
      </c>
      <c r="F22" s="16" t="s">
        <v>410</v>
      </c>
      <c r="G22" s="16" t="s">
        <v>410</v>
      </c>
      <c r="H22" s="16">
        <v>728</v>
      </c>
      <c r="I22" s="16">
        <v>147</v>
      </c>
      <c r="J22" s="16" t="s">
        <v>410</v>
      </c>
      <c r="K22" s="16" t="s">
        <v>410</v>
      </c>
      <c r="L22">
        <v>20</v>
      </c>
    </row>
    <row r="23" spans="1:12" ht="15.75" customHeight="1" x14ac:dyDescent="0.25">
      <c r="A23">
        <v>20</v>
      </c>
      <c r="B23" s="4" t="s">
        <v>22</v>
      </c>
      <c r="C23" s="23">
        <f>C20</f>
        <v>-27814.909329999984</v>
      </c>
      <c r="D23" s="23">
        <v>-58594.601890000005</v>
      </c>
      <c r="E23" s="23">
        <v>14965.979740000066</v>
      </c>
      <c r="F23" s="23">
        <f>F20</f>
        <v>10189.736200000038</v>
      </c>
      <c r="G23" s="23">
        <f>G20</f>
        <v>35873.392000000014</v>
      </c>
      <c r="H23" s="19">
        <v>167202</v>
      </c>
      <c r="I23" s="20" t="s">
        <v>49</v>
      </c>
      <c r="J23" s="20" t="s">
        <v>50</v>
      </c>
      <c r="K23" s="20" t="s">
        <v>51</v>
      </c>
      <c r="L23">
        <v>23</v>
      </c>
    </row>
    <row r="24" spans="1:12" ht="15.75" customHeight="1" x14ac:dyDescent="0.25">
      <c r="A24">
        <v>22</v>
      </c>
      <c r="B24" s="4" t="s">
        <v>407</v>
      </c>
      <c r="C24" s="16">
        <f t="shared" ref="C24" si="0">C23-C16</f>
        <v>-27645.880369999984</v>
      </c>
      <c r="D24" s="16">
        <v>-65443.537160000007</v>
      </c>
      <c r="E24" s="16">
        <v>5885.6729600000672</v>
      </c>
      <c r="F24" s="16">
        <f t="shared" ref="F24:K24" si="1">F23-F16</f>
        <v>10189.736200000038</v>
      </c>
      <c r="G24" s="16">
        <f t="shared" si="1"/>
        <v>11396.090619999995</v>
      </c>
      <c r="H24" s="16">
        <f t="shared" si="1"/>
        <v>29050.031439999992</v>
      </c>
      <c r="I24" s="16">
        <f t="shared" si="1"/>
        <v>23123</v>
      </c>
      <c r="J24" s="16">
        <f t="shared" si="1"/>
        <v>-16480</v>
      </c>
      <c r="K24" s="16">
        <f t="shared" si="1"/>
        <v>-9702</v>
      </c>
      <c r="L24">
        <v>25</v>
      </c>
    </row>
  </sheetData>
  <pageMargins left="0.51181102362204722" right="0.51181102362204722" top="0.78740157480314965" bottom="0.78740157480314965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10FD-F79A-4E1B-A3A8-642EBEE4F9E2}">
  <dimension ref="A1"/>
  <sheetViews>
    <sheetView workbookViewId="0">
      <selection activeCell="E30" sqref="E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5832-B42A-4228-A9E5-3BCF3F9D5B31}">
  <dimension ref="A1:H202"/>
  <sheetViews>
    <sheetView topLeftCell="A7" workbookViewId="0">
      <selection activeCell="G7" sqref="G7"/>
    </sheetView>
  </sheetViews>
  <sheetFormatPr defaultColWidth="12.140625" defaultRowHeight="15" x14ac:dyDescent="0.25"/>
  <cols>
    <col min="1" max="1" width="11.7109375" bestFit="1" customWidth="1"/>
    <col min="2" max="2" width="50.5703125" bestFit="1" customWidth="1"/>
    <col min="3" max="3" width="14.5703125" bestFit="1" customWidth="1"/>
    <col min="4" max="5" width="13.7109375" bestFit="1" customWidth="1"/>
    <col min="6" max="6" width="13.42578125" bestFit="1" customWidth="1"/>
    <col min="7" max="7" width="16.28515625" bestFit="1" customWidth="1"/>
  </cols>
  <sheetData>
    <row r="1" spans="1:8" ht="15.75" x14ac:dyDescent="0.25">
      <c r="A1" s="58" t="s">
        <v>377</v>
      </c>
      <c r="B1" s="51"/>
      <c r="C1" s="51"/>
      <c r="D1" s="51"/>
      <c r="E1" s="51"/>
      <c r="F1" s="51"/>
      <c r="G1" s="51"/>
    </row>
    <row r="2" spans="1:8" x14ac:dyDescent="0.25">
      <c r="A2" s="52" t="s">
        <v>378</v>
      </c>
      <c r="F2" s="1"/>
      <c r="G2" s="53" t="s">
        <v>513</v>
      </c>
    </row>
    <row r="3" spans="1:8" x14ac:dyDescent="0.25">
      <c r="A3" s="52" t="s">
        <v>379</v>
      </c>
      <c r="F3" s="1"/>
      <c r="G3" s="53" t="s">
        <v>514</v>
      </c>
    </row>
    <row r="4" spans="1:8" x14ac:dyDescent="0.25">
      <c r="A4" s="52" t="s">
        <v>380</v>
      </c>
      <c r="F4" s="1"/>
      <c r="G4" s="53" t="s">
        <v>381</v>
      </c>
    </row>
    <row r="5" spans="1:8" x14ac:dyDescent="0.25">
      <c r="A5" s="52"/>
      <c r="F5" s="1"/>
      <c r="G5" s="53"/>
    </row>
    <row r="6" spans="1:8" x14ac:dyDescent="0.25">
      <c r="A6" s="54" t="s">
        <v>515</v>
      </c>
      <c r="B6" s="12"/>
      <c r="C6" s="12"/>
      <c r="D6" s="12"/>
      <c r="E6" s="12"/>
      <c r="F6" s="55"/>
      <c r="G6" s="56"/>
    </row>
    <row r="7" spans="1:8" x14ac:dyDescent="0.25">
      <c r="A7" s="7" t="s">
        <v>382</v>
      </c>
      <c r="B7" s="7" t="s">
        <v>383</v>
      </c>
      <c r="C7" s="59" t="s">
        <v>384</v>
      </c>
      <c r="D7" s="59" t="s">
        <v>385</v>
      </c>
      <c r="E7" s="59" t="s">
        <v>386</v>
      </c>
      <c r="F7" s="59" t="s">
        <v>387</v>
      </c>
      <c r="G7" s="59" t="s">
        <v>388</v>
      </c>
    </row>
    <row r="8" spans="1:8" x14ac:dyDescent="0.25">
      <c r="A8" t="s">
        <v>65</v>
      </c>
      <c r="B8" t="s">
        <v>66</v>
      </c>
      <c r="C8" s="57">
        <v>25301530.640000001</v>
      </c>
      <c r="D8" s="57">
        <v>20898594.43</v>
      </c>
      <c r="E8" s="57">
        <v>18385215.739999998</v>
      </c>
      <c r="F8" s="57">
        <v>2513378.69</v>
      </c>
      <c r="G8" s="57">
        <v>27814909.329999998</v>
      </c>
      <c r="H8" t="str">
        <f>_xlfn.XLOOKUP(A8,indice!A:A,indice!C:C)</f>
        <v>S</v>
      </c>
    </row>
    <row r="9" spans="1:8" x14ac:dyDescent="0.25">
      <c r="A9" t="s">
        <v>67</v>
      </c>
      <c r="B9" t="s">
        <v>68</v>
      </c>
      <c r="C9" s="57">
        <v>-58132400.060000002</v>
      </c>
      <c r="D9" s="57">
        <v>60797.279999999999</v>
      </c>
      <c r="E9" s="57">
        <v>8711180.6400000006</v>
      </c>
      <c r="F9" s="57">
        <v>-8650383.3599999994</v>
      </c>
      <c r="G9" s="57">
        <v>-66782783.420000002</v>
      </c>
      <c r="H9" t="str">
        <f>_xlfn.XLOOKUP(A9,indice!A:A,indice!C:C)</f>
        <v>S</v>
      </c>
    </row>
    <row r="10" spans="1:8" x14ac:dyDescent="0.25">
      <c r="A10" t="s">
        <v>69</v>
      </c>
      <c r="B10" t="s">
        <v>70</v>
      </c>
      <c r="C10" s="57">
        <v>-58132400.060000002</v>
      </c>
      <c r="D10" s="57">
        <v>60797.279999999999</v>
      </c>
      <c r="E10" s="57">
        <v>8711180.6400000006</v>
      </c>
      <c r="F10" s="57">
        <v>-8650383.3599999994</v>
      </c>
      <c r="G10" s="57">
        <v>-66782783.420000002</v>
      </c>
      <c r="H10" t="str">
        <f>_xlfn.XLOOKUP(A10,indice!A:A,indice!C:C)</f>
        <v>S</v>
      </c>
    </row>
    <row r="11" spans="1:8" x14ac:dyDescent="0.25">
      <c r="A11" t="s">
        <v>71</v>
      </c>
      <c r="B11" t="s">
        <v>72</v>
      </c>
      <c r="C11" s="57">
        <v>-25540960.82</v>
      </c>
      <c r="D11" s="57">
        <v>0</v>
      </c>
      <c r="E11" s="57">
        <v>0</v>
      </c>
      <c r="F11" s="57">
        <v>0</v>
      </c>
      <c r="G11" s="57">
        <v>-25540960.82</v>
      </c>
      <c r="H11" t="str">
        <f>_xlfn.XLOOKUP(A11,indice!A:A,indice!C:C)</f>
        <v>S</v>
      </c>
    </row>
    <row r="12" spans="1:8" x14ac:dyDescent="0.25">
      <c r="A12" t="s">
        <v>73</v>
      </c>
      <c r="B12" t="s">
        <v>61</v>
      </c>
      <c r="C12" s="57">
        <v>-76992</v>
      </c>
      <c r="D12" s="57">
        <v>0</v>
      </c>
      <c r="E12" s="57">
        <v>0</v>
      </c>
      <c r="F12" s="57">
        <v>0</v>
      </c>
      <c r="G12" s="57">
        <v>-76992</v>
      </c>
      <c r="H12">
        <f>_xlfn.XLOOKUP(A12,indice!A:A,indice!C:C)</f>
        <v>1</v>
      </c>
    </row>
    <row r="13" spans="1:8" x14ac:dyDescent="0.25">
      <c r="A13" t="s">
        <v>74</v>
      </c>
      <c r="B13" t="s">
        <v>62</v>
      </c>
      <c r="C13" s="57">
        <v>-9024205.4199999999</v>
      </c>
      <c r="D13" s="57">
        <v>0</v>
      </c>
      <c r="E13" s="57">
        <v>0</v>
      </c>
      <c r="F13" s="57">
        <v>0</v>
      </c>
      <c r="G13" s="57">
        <v>-9024205.4199999999</v>
      </c>
      <c r="H13">
        <f>_xlfn.XLOOKUP(A13,indice!A:A,indice!C:C)</f>
        <v>1</v>
      </c>
    </row>
    <row r="14" spans="1:8" x14ac:dyDescent="0.25">
      <c r="A14" t="s">
        <v>75</v>
      </c>
      <c r="B14" t="s">
        <v>60</v>
      </c>
      <c r="C14" s="57">
        <v>-13061964.800000001</v>
      </c>
      <c r="D14" s="57">
        <v>0</v>
      </c>
      <c r="E14" s="57">
        <v>0</v>
      </c>
      <c r="F14" s="57">
        <v>0</v>
      </c>
      <c r="G14" s="57">
        <v>-13061964.800000001</v>
      </c>
      <c r="H14">
        <f>_xlfn.XLOOKUP(A14,indice!A:A,indice!C:C)</f>
        <v>1</v>
      </c>
    </row>
    <row r="15" spans="1:8" x14ac:dyDescent="0.25">
      <c r="A15" t="s">
        <v>483</v>
      </c>
      <c r="B15" t="s">
        <v>59</v>
      </c>
      <c r="C15" s="57">
        <v>-3377798.6</v>
      </c>
      <c r="D15" s="57">
        <v>0</v>
      </c>
      <c r="E15" s="57">
        <v>0</v>
      </c>
      <c r="F15" s="57">
        <v>0</v>
      </c>
      <c r="G15" s="57">
        <v>-3377798.6</v>
      </c>
      <c r="H15">
        <f>_xlfn.XLOOKUP(A15,indice!A:A,indice!C:C)</f>
        <v>1</v>
      </c>
    </row>
    <row r="16" spans="1:8" x14ac:dyDescent="0.25">
      <c r="A16" t="s">
        <v>76</v>
      </c>
      <c r="B16" t="s">
        <v>77</v>
      </c>
      <c r="C16" s="57">
        <v>-32400989.02</v>
      </c>
      <c r="D16" s="57">
        <v>0</v>
      </c>
      <c r="E16" s="57">
        <v>7961824.4100000001</v>
      </c>
      <c r="F16" s="57">
        <v>-7961824.4100000001</v>
      </c>
      <c r="G16" s="57">
        <v>-40362813.43</v>
      </c>
      <c r="H16" t="str">
        <f>_xlfn.XLOOKUP(A16,indice!A:A,indice!C:C)</f>
        <v>S</v>
      </c>
    </row>
    <row r="17" spans="1:8" x14ac:dyDescent="0.25">
      <c r="A17" t="s">
        <v>78</v>
      </c>
      <c r="B17" t="s">
        <v>59</v>
      </c>
      <c r="C17" s="57">
        <v>-32400989.02</v>
      </c>
      <c r="D17" s="57">
        <v>0</v>
      </c>
      <c r="E17" s="57">
        <v>7961824.4100000001</v>
      </c>
      <c r="F17" s="57">
        <v>-7961824.4100000001</v>
      </c>
      <c r="G17" s="57">
        <v>-40362813.43</v>
      </c>
      <c r="H17">
        <f>_xlfn.XLOOKUP(A17,indice!A:A,indice!C:C)</f>
        <v>1</v>
      </c>
    </row>
    <row r="18" spans="1:8" x14ac:dyDescent="0.25">
      <c r="A18" t="s">
        <v>79</v>
      </c>
      <c r="B18" t="s">
        <v>80</v>
      </c>
      <c r="C18" s="57">
        <v>-4290</v>
      </c>
      <c r="D18" s="57">
        <v>0</v>
      </c>
      <c r="E18" s="57">
        <v>1170</v>
      </c>
      <c r="F18" s="57">
        <v>-1170</v>
      </c>
      <c r="G18" s="57">
        <v>-5460</v>
      </c>
      <c r="H18" t="str">
        <f>_xlfn.XLOOKUP(A18,indice!A:A,indice!C:C)</f>
        <v>S</v>
      </c>
    </row>
    <row r="19" spans="1:8" x14ac:dyDescent="0.25">
      <c r="A19" t="s">
        <v>83</v>
      </c>
      <c r="B19" t="s">
        <v>84</v>
      </c>
      <c r="C19" s="57">
        <v>-4290</v>
      </c>
      <c r="D19" s="57">
        <v>0</v>
      </c>
      <c r="E19" s="57">
        <v>1170</v>
      </c>
      <c r="F19" s="57">
        <v>-1170</v>
      </c>
      <c r="G19" s="57">
        <v>-5460</v>
      </c>
      <c r="H19">
        <f>_xlfn.XLOOKUP(A19,indice!A:A,indice!C:C)</f>
        <v>1</v>
      </c>
    </row>
    <row r="20" spans="1:8" x14ac:dyDescent="0.25">
      <c r="A20" t="s">
        <v>89</v>
      </c>
      <c r="B20" t="s">
        <v>90</v>
      </c>
      <c r="C20" s="57">
        <v>-62230</v>
      </c>
      <c r="D20" s="57">
        <v>0</v>
      </c>
      <c r="E20" s="57">
        <v>7287</v>
      </c>
      <c r="F20" s="57">
        <v>-7287</v>
      </c>
      <c r="G20" s="57">
        <v>-69517</v>
      </c>
      <c r="H20" t="str">
        <f>_xlfn.XLOOKUP(A20,indice!A:A,indice!C:C)</f>
        <v>S</v>
      </c>
    </row>
    <row r="21" spans="1:8" x14ac:dyDescent="0.25">
      <c r="A21" t="s">
        <v>91</v>
      </c>
      <c r="B21" t="s">
        <v>92</v>
      </c>
      <c r="C21" s="57">
        <v>-62230</v>
      </c>
      <c r="D21" s="57">
        <v>0</v>
      </c>
      <c r="E21" s="57">
        <v>7287</v>
      </c>
      <c r="F21" s="57">
        <v>-7287</v>
      </c>
      <c r="G21" s="57">
        <v>-69517</v>
      </c>
      <c r="H21">
        <f>_xlfn.XLOOKUP(A21,indice!A:A,indice!C:C)</f>
        <v>1</v>
      </c>
    </row>
    <row r="22" spans="1:8" x14ac:dyDescent="0.25">
      <c r="A22" t="s">
        <v>433</v>
      </c>
      <c r="B22" t="s">
        <v>434</v>
      </c>
      <c r="C22" s="57">
        <v>-123930.22</v>
      </c>
      <c r="D22" s="57">
        <v>60797.279999999999</v>
      </c>
      <c r="E22" s="57">
        <v>740899.23</v>
      </c>
      <c r="F22" s="57">
        <v>-680101.95</v>
      </c>
      <c r="G22" s="57">
        <v>-804032.17</v>
      </c>
      <c r="H22" t="str">
        <f>_xlfn.XLOOKUP(A22,indice!A:A,indice!C:C)</f>
        <v>S</v>
      </c>
    </row>
    <row r="23" spans="1:8" x14ac:dyDescent="0.25">
      <c r="A23" t="s">
        <v>435</v>
      </c>
      <c r="B23" t="s">
        <v>436</v>
      </c>
      <c r="C23" s="57">
        <v>-123930.22</v>
      </c>
      <c r="D23" s="57">
        <v>60797.279999999999</v>
      </c>
      <c r="E23" s="57">
        <v>740899.23</v>
      </c>
      <c r="F23" s="57">
        <v>-680101.95</v>
      </c>
      <c r="G23" s="57">
        <v>-804032.17</v>
      </c>
      <c r="H23">
        <f>_xlfn.XLOOKUP(A23,indice!A:A,indice!C:C)</f>
        <v>1</v>
      </c>
    </row>
    <row r="24" spans="1:8" x14ac:dyDescent="0.25">
      <c r="A24" t="s">
        <v>93</v>
      </c>
      <c r="B24" t="s">
        <v>94</v>
      </c>
      <c r="C24" s="57">
        <v>83433930.700000003</v>
      </c>
      <c r="D24" s="57">
        <v>20837797.149999999</v>
      </c>
      <c r="E24" s="57">
        <v>9674035.0999999996</v>
      </c>
      <c r="F24" s="57">
        <v>11163762.050000001</v>
      </c>
      <c r="G24" s="57">
        <v>94597692.75</v>
      </c>
      <c r="H24" t="str">
        <f>_xlfn.XLOOKUP(A24,indice!A:A,indice!C:C)</f>
        <v>S</v>
      </c>
    </row>
    <row r="25" spans="1:8" x14ac:dyDescent="0.25">
      <c r="A25" t="s">
        <v>95</v>
      </c>
      <c r="B25" t="s">
        <v>96</v>
      </c>
      <c r="C25" s="57">
        <v>4442517.96</v>
      </c>
      <c r="D25" s="57">
        <v>10418.93</v>
      </c>
      <c r="E25" s="57">
        <v>0</v>
      </c>
      <c r="F25" s="57">
        <v>10418.93</v>
      </c>
      <c r="G25" s="57">
        <v>4452936.8899999997</v>
      </c>
      <c r="H25" t="str">
        <f>_xlfn.XLOOKUP(A25,indice!A:A,indice!C:C)</f>
        <v>S</v>
      </c>
    </row>
    <row r="26" spans="1:8" x14ac:dyDescent="0.25">
      <c r="A26" t="s">
        <v>97</v>
      </c>
      <c r="B26" t="s">
        <v>98</v>
      </c>
      <c r="C26" s="57">
        <v>4415123.59</v>
      </c>
      <c r="D26" s="57">
        <v>7735.91</v>
      </c>
      <c r="E26" s="57">
        <v>0</v>
      </c>
      <c r="F26" s="57">
        <v>7735.91</v>
      </c>
      <c r="G26" s="57">
        <v>4422859.5</v>
      </c>
      <c r="H26" t="str">
        <f>_xlfn.XLOOKUP(A26,indice!A:A,indice!C:C)</f>
        <v>S</v>
      </c>
    </row>
    <row r="27" spans="1:8" x14ac:dyDescent="0.25">
      <c r="A27" t="s">
        <v>99</v>
      </c>
      <c r="B27" t="s">
        <v>56</v>
      </c>
      <c r="C27" s="57">
        <v>2168666.48</v>
      </c>
      <c r="D27" s="57">
        <v>0</v>
      </c>
      <c r="E27" s="57">
        <v>0</v>
      </c>
      <c r="F27" s="57">
        <v>0</v>
      </c>
      <c r="G27" s="57">
        <v>2168666.48</v>
      </c>
      <c r="H27">
        <f>_xlfn.XLOOKUP(A27,indice!A:A,indice!C:C)</f>
        <v>3</v>
      </c>
    </row>
    <row r="28" spans="1:8" x14ac:dyDescent="0.25">
      <c r="A28" t="s">
        <v>100</v>
      </c>
      <c r="B28" t="s">
        <v>55</v>
      </c>
      <c r="C28" s="57">
        <v>3624.98</v>
      </c>
      <c r="D28" s="57">
        <v>0</v>
      </c>
      <c r="E28" s="57">
        <v>0</v>
      </c>
      <c r="F28" s="57">
        <v>0</v>
      </c>
      <c r="G28" s="57">
        <v>3624.98</v>
      </c>
      <c r="H28">
        <f>_xlfn.XLOOKUP(A28,indice!A:A,indice!C:C)</f>
        <v>3</v>
      </c>
    </row>
    <row r="29" spans="1:8" x14ac:dyDescent="0.25">
      <c r="A29" t="s">
        <v>101</v>
      </c>
      <c r="B29" t="s">
        <v>102</v>
      </c>
      <c r="C29" s="57">
        <v>255513.75</v>
      </c>
      <c r="D29" s="57">
        <v>1379.92</v>
      </c>
      <c r="E29" s="57">
        <v>0</v>
      </c>
      <c r="F29" s="57">
        <v>1379.92</v>
      </c>
      <c r="G29" s="57">
        <v>256893.67</v>
      </c>
      <c r="H29">
        <f>_xlfn.XLOOKUP(A29,indice!A:A,indice!C:C)</f>
        <v>3</v>
      </c>
    </row>
    <row r="30" spans="1:8" x14ac:dyDescent="0.25">
      <c r="A30" t="s">
        <v>103</v>
      </c>
      <c r="B30" t="s">
        <v>104</v>
      </c>
      <c r="C30" s="57">
        <v>1175029.98</v>
      </c>
      <c r="D30" s="57">
        <v>6355.99</v>
      </c>
      <c r="E30" s="57">
        <v>0</v>
      </c>
      <c r="F30" s="57">
        <v>6355.99</v>
      </c>
      <c r="G30" s="57">
        <v>1181385.97</v>
      </c>
      <c r="H30">
        <f>_xlfn.XLOOKUP(A30,indice!A:A,indice!C:C)</f>
        <v>3</v>
      </c>
    </row>
    <row r="31" spans="1:8" x14ac:dyDescent="0.25">
      <c r="A31" t="s">
        <v>105</v>
      </c>
      <c r="B31" t="s">
        <v>106</v>
      </c>
      <c r="C31" s="57">
        <v>662541.32999999996</v>
      </c>
      <c r="D31" s="57">
        <v>0</v>
      </c>
      <c r="E31" s="57">
        <v>0</v>
      </c>
      <c r="F31" s="57">
        <v>0</v>
      </c>
      <c r="G31" s="57">
        <v>662541.32999999996</v>
      </c>
      <c r="H31">
        <f>_xlfn.XLOOKUP(A31,indice!A:A,indice!C:C)</f>
        <v>3</v>
      </c>
    </row>
    <row r="32" spans="1:8" x14ac:dyDescent="0.25">
      <c r="A32" t="s">
        <v>107</v>
      </c>
      <c r="B32" t="s">
        <v>108</v>
      </c>
      <c r="C32" s="57">
        <v>149747.07</v>
      </c>
      <c r="D32" s="57">
        <v>0</v>
      </c>
      <c r="E32" s="57">
        <v>0</v>
      </c>
      <c r="F32" s="57">
        <v>0</v>
      </c>
      <c r="G32" s="57">
        <v>149747.07</v>
      </c>
      <c r="H32">
        <f>_xlfn.XLOOKUP(A32,indice!A:A,indice!C:C)</f>
        <v>3</v>
      </c>
    </row>
    <row r="33" spans="1:8" x14ac:dyDescent="0.25">
      <c r="A33" t="s">
        <v>109</v>
      </c>
      <c r="B33" t="s">
        <v>110</v>
      </c>
      <c r="C33" s="57">
        <v>27394.37</v>
      </c>
      <c r="D33" s="57">
        <v>2683.02</v>
      </c>
      <c r="E33" s="57">
        <v>0</v>
      </c>
      <c r="F33" s="57">
        <v>2683.02</v>
      </c>
      <c r="G33" s="57">
        <v>30077.39</v>
      </c>
      <c r="H33" t="str">
        <f>_xlfn.XLOOKUP(A33,indice!A:A,indice!C:C)</f>
        <v>S</v>
      </c>
    </row>
    <row r="34" spans="1:8" x14ac:dyDescent="0.25">
      <c r="A34" t="s">
        <v>111</v>
      </c>
      <c r="B34" t="s">
        <v>56</v>
      </c>
      <c r="C34" s="57">
        <v>21241.26</v>
      </c>
      <c r="D34" s="57">
        <v>1900.74</v>
      </c>
      <c r="E34" s="57">
        <v>0</v>
      </c>
      <c r="F34" s="57">
        <v>1900.74</v>
      </c>
      <c r="G34" s="57">
        <v>23142</v>
      </c>
      <c r="H34">
        <f>_xlfn.XLOOKUP(A34,indice!A:A,indice!C:C)</f>
        <v>3</v>
      </c>
    </row>
    <row r="35" spans="1:8" x14ac:dyDescent="0.25">
      <c r="A35" t="s">
        <v>112</v>
      </c>
      <c r="B35" t="s">
        <v>113</v>
      </c>
      <c r="C35" s="57">
        <v>1097.5899999999999</v>
      </c>
      <c r="D35" s="57">
        <v>139.55000000000001</v>
      </c>
      <c r="E35" s="57">
        <v>0</v>
      </c>
      <c r="F35" s="57">
        <v>139.55000000000001</v>
      </c>
      <c r="G35" s="57">
        <v>1237.1400000000001</v>
      </c>
      <c r="H35">
        <f>_xlfn.XLOOKUP(A35,indice!A:A,indice!C:C)</f>
        <v>3</v>
      </c>
    </row>
    <row r="36" spans="1:8" x14ac:dyDescent="0.25">
      <c r="A36" t="s">
        <v>114</v>
      </c>
      <c r="B36" t="s">
        <v>115</v>
      </c>
      <c r="C36" s="57">
        <v>5055.5200000000004</v>
      </c>
      <c r="D36" s="57">
        <v>642.73</v>
      </c>
      <c r="E36" s="57">
        <v>0</v>
      </c>
      <c r="F36" s="57">
        <v>642.73</v>
      </c>
      <c r="G36" s="57">
        <v>5698.25</v>
      </c>
      <c r="H36">
        <f>_xlfn.XLOOKUP(A36,indice!A:A,indice!C:C)</f>
        <v>3</v>
      </c>
    </row>
    <row r="37" spans="1:8" x14ac:dyDescent="0.25">
      <c r="A37" t="s">
        <v>116</v>
      </c>
      <c r="B37" t="s">
        <v>12</v>
      </c>
      <c r="C37" s="57">
        <v>70577240.689999998</v>
      </c>
      <c r="D37" s="57">
        <v>9398076.8200000003</v>
      </c>
      <c r="E37" s="57">
        <v>0</v>
      </c>
      <c r="F37" s="57">
        <v>9398076.8200000003</v>
      </c>
      <c r="G37" s="57">
        <v>79975317.510000005</v>
      </c>
      <c r="H37" t="str">
        <f>_xlfn.XLOOKUP(A37,indice!A:A,indice!C:C)</f>
        <v>S</v>
      </c>
    </row>
    <row r="38" spans="1:8" x14ac:dyDescent="0.25">
      <c r="A38" t="s">
        <v>117</v>
      </c>
      <c r="B38" t="s">
        <v>118</v>
      </c>
      <c r="C38" s="57">
        <v>70577240.689999998</v>
      </c>
      <c r="D38" s="57">
        <v>8486611.4399999995</v>
      </c>
      <c r="E38" s="57">
        <v>0</v>
      </c>
      <c r="F38" s="57">
        <v>8486611.4399999995</v>
      </c>
      <c r="G38" s="57">
        <v>79063852.129999995</v>
      </c>
      <c r="H38" t="str">
        <f>_xlfn.XLOOKUP(A38,indice!A:A,indice!C:C)</f>
        <v>S</v>
      </c>
    </row>
    <row r="39" spans="1:8" x14ac:dyDescent="0.25">
      <c r="A39" t="s">
        <v>123</v>
      </c>
      <c r="B39" t="s">
        <v>61</v>
      </c>
      <c r="C39" s="57">
        <v>111485.73</v>
      </c>
      <c r="D39" s="57">
        <v>0</v>
      </c>
      <c r="E39" s="57">
        <v>0</v>
      </c>
      <c r="F39" s="57">
        <v>0</v>
      </c>
      <c r="G39" s="57">
        <v>111485.73</v>
      </c>
      <c r="H39">
        <f>_xlfn.XLOOKUP(A39,indice!A:A,indice!C:C)</f>
        <v>6</v>
      </c>
    </row>
    <row r="40" spans="1:8" x14ac:dyDescent="0.25">
      <c r="A40" t="s">
        <v>437</v>
      </c>
      <c r="B40" t="s">
        <v>438</v>
      </c>
      <c r="C40" s="57">
        <v>9738123.0500000007</v>
      </c>
      <c r="D40" s="57">
        <v>0</v>
      </c>
      <c r="E40" s="57">
        <v>0</v>
      </c>
      <c r="F40" s="57">
        <v>0</v>
      </c>
      <c r="G40" s="57">
        <v>9738123.0500000007</v>
      </c>
      <c r="H40">
        <f>_xlfn.XLOOKUP(A40,indice!A:A,indice!C:C)</f>
        <v>6</v>
      </c>
    </row>
    <row r="41" spans="1:8" x14ac:dyDescent="0.25">
      <c r="A41" t="s">
        <v>439</v>
      </c>
      <c r="B41" t="s">
        <v>440</v>
      </c>
      <c r="C41" s="57">
        <v>15442713.359999999</v>
      </c>
      <c r="D41" s="57">
        <v>0</v>
      </c>
      <c r="E41" s="57">
        <v>0</v>
      </c>
      <c r="F41" s="57">
        <v>0</v>
      </c>
      <c r="G41" s="57">
        <v>15442713.359999999</v>
      </c>
      <c r="H41">
        <f>_xlfn.XLOOKUP(A41,indice!A:A,indice!C:C)</f>
        <v>6</v>
      </c>
    </row>
    <row r="42" spans="1:8" x14ac:dyDescent="0.25">
      <c r="A42" t="s">
        <v>450</v>
      </c>
      <c r="B42" t="s">
        <v>59</v>
      </c>
      <c r="C42" s="57">
        <v>45284918.549999997</v>
      </c>
      <c r="D42" s="57">
        <v>8486611.4399999995</v>
      </c>
      <c r="E42" s="57">
        <v>0</v>
      </c>
      <c r="F42" s="57">
        <v>8486611.4399999995</v>
      </c>
      <c r="G42" s="57">
        <v>53771529.990000002</v>
      </c>
      <c r="H42">
        <f>_xlfn.XLOOKUP(A42,indice!A:A,indice!C:C)</f>
        <v>6</v>
      </c>
    </row>
    <row r="43" spans="1:8" x14ac:dyDescent="0.25">
      <c r="A43" t="s">
        <v>124</v>
      </c>
      <c r="B43" t="s">
        <v>125</v>
      </c>
      <c r="C43" s="57">
        <v>0</v>
      </c>
      <c r="D43" s="57">
        <v>911465.38</v>
      </c>
      <c r="E43" s="57">
        <v>0</v>
      </c>
      <c r="F43" s="57">
        <v>911465.38</v>
      </c>
      <c r="G43" s="57">
        <v>911465.38</v>
      </c>
      <c r="H43" t="str">
        <f>_xlfn.XLOOKUP(A43,indice!A:A,indice!C:C)</f>
        <v>S</v>
      </c>
    </row>
    <row r="44" spans="1:8" x14ac:dyDescent="0.25">
      <c r="A44" t="s">
        <v>126</v>
      </c>
      <c r="B44" t="s">
        <v>127</v>
      </c>
      <c r="C44" s="57">
        <v>0</v>
      </c>
      <c r="D44" s="57">
        <v>911465.38</v>
      </c>
      <c r="E44" s="57">
        <v>0</v>
      </c>
      <c r="F44" s="57">
        <v>911465.38</v>
      </c>
      <c r="G44" s="57">
        <v>911465.38</v>
      </c>
      <c r="H44">
        <f>_xlfn.XLOOKUP(A44,indice!A:A,indice!C:C)</f>
        <v>6</v>
      </c>
    </row>
    <row r="45" spans="1:8" x14ac:dyDescent="0.25">
      <c r="A45" t="s">
        <v>128</v>
      </c>
      <c r="B45" t="s">
        <v>129</v>
      </c>
      <c r="C45" s="57">
        <v>8414172.0500000007</v>
      </c>
      <c r="D45" s="57">
        <v>11429301.4</v>
      </c>
      <c r="E45" s="57">
        <v>9674035.0999999996</v>
      </c>
      <c r="F45" s="57">
        <v>1755266.3</v>
      </c>
      <c r="G45" s="57">
        <v>10169438.35</v>
      </c>
      <c r="H45" t="str">
        <f>_xlfn.XLOOKUP(A45,indice!A:A,indice!C:C)</f>
        <v>S</v>
      </c>
    </row>
    <row r="46" spans="1:8" x14ac:dyDescent="0.25">
      <c r="A46" t="s">
        <v>130</v>
      </c>
      <c r="B46" t="s">
        <v>131</v>
      </c>
      <c r="C46" s="57">
        <v>0</v>
      </c>
      <c r="D46" s="57">
        <v>8153346.0999999996</v>
      </c>
      <c r="E46" s="57">
        <v>8153346.0999999996</v>
      </c>
      <c r="F46" s="57">
        <v>0</v>
      </c>
      <c r="G46" s="57">
        <v>0</v>
      </c>
      <c r="H46" t="str">
        <f>_xlfn.XLOOKUP(A46,indice!A:A,indice!C:C)</f>
        <v>S</v>
      </c>
    </row>
    <row r="47" spans="1:8" x14ac:dyDescent="0.25">
      <c r="A47" t="s">
        <v>132</v>
      </c>
      <c r="B47" t="s">
        <v>133</v>
      </c>
      <c r="C47" s="57">
        <v>11276974.83</v>
      </c>
      <c r="D47" s="57">
        <v>1432262.83</v>
      </c>
      <c r="E47" s="57">
        <v>2131.62</v>
      </c>
      <c r="F47" s="57">
        <v>1430131.21</v>
      </c>
      <c r="G47" s="57">
        <v>12707106.039999999</v>
      </c>
      <c r="H47" t="str">
        <f>_xlfn.XLOOKUP(A47,indice!A:A,indice!C:C)</f>
        <v>C</v>
      </c>
    </row>
    <row r="48" spans="1:8" x14ac:dyDescent="0.25">
      <c r="A48" t="s">
        <v>134</v>
      </c>
      <c r="B48" t="s">
        <v>135</v>
      </c>
      <c r="C48" s="57">
        <v>1145605</v>
      </c>
      <c r="D48" s="57">
        <v>215095.75</v>
      </c>
      <c r="E48" s="57">
        <v>513.84</v>
      </c>
      <c r="F48" s="57">
        <v>214581.91</v>
      </c>
      <c r="G48" s="57">
        <v>1360186.91</v>
      </c>
      <c r="H48" t="str">
        <f>_xlfn.XLOOKUP(A48,indice!A:A,indice!C:C)</f>
        <v>C</v>
      </c>
    </row>
    <row r="49" spans="1:8" x14ac:dyDescent="0.25">
      <c r="A49" t="s">
        <v>136</v>
      </c>
      <c r="B49" t="s">
        <v>137</v>
      </c>
      <c r="C49" s="57">
        <v>1410749.33</v>
      </c>
      <c r="D49" s="57">
        <v>288215.32</v>
      </c>
      <c r="E49" s="57">
        <v>24181.24</v>
      </c>
      <c r="F49" s="57">
        <v>264034.08</v>
      </c>
      <c r="G49" s="57">
        <v>1674783.41</v>
      </c>
      <c r="H49" t="str">
        <f>_xlfn.XLOOKUP(A49,indice!A:A,indice!C:C)</f>
        <v>C</v>
      </c>
    </row>
    <row r="50" spans="1:8" x14ac:dyDescent="0.25">
      <c r="A50" t="s">
        <v>138</v>
      </c>
      <c r="B50" t="s">
        <v>63</v>
      </c>
      <c r="C50" s="57">
        <v>35648.199999999997</v>
      </c>
      <c r="D50" s="57">
        <v>22013.73</v>
      </c>
      <c r="E50" s="57">
        <v>12985.88</v>
      </c>
      <c r="F50" s="57">
        <v>9027.85</v>
      </c>
      <c r="G50" s="57">
        <v>44676.05</v>
      </c>
      <c r="H50" t="str">
        <f>_xlfn.XLOOKUP(A50,indice!A:A,indice!C:C)</f>
        <v>C</v>
      </c>
    </row>
    <row r="51" spans="1:8" x14ac:dyDescent="0.25">
      <c r="A51" t="s">
        <v>139</v>
      </c>
      <c r="B51" t="s">
        <v>64</v>
      </c>
      <c r="C51" s="57">
        <v>1160587.8899999999</v>
      </c>
      <c r="D51" s="57">
        <v>182842.38</v>
      </c>
      <c r="E51" s="57">
        <v>35374.04</v>
      </c>
      <c r="F51" s="57">
        <v>147468.34</v>
      </c>
      <c r="G51" s="57">
        <v>1308056.23</v>
      </c>
      <c r="H51" t="str">
        <f>_xlfn.XLOOKUP(A51,indice!A:A,indice!C:C)</f>
        <v>C</v>
      </c>
    </row>
    <row r="52" spans="1:8" x14ac:dyDescent="0.25">
      <c r="A52" t="s">
        <v>140</v>
      </c>
      <c r="B52" t="s">
        <v>141</v>
      </c>
      <c r="C52" s="57">
        <v>1197.6600000000001</v>
      </c>
      <c r="D52" s="57">
        <v>0</v>
      </c>
      <c r="E52" s="57">
        <v>0</v>
      </c>
      <c r="F52" s="57">
        <v>0</v>
      </c>
      <c r="G52" s="57">
        <v>1197.6600000000001</v>
      </c>
      <c r="H52" t="str">
        <f>_xlfn.XLOOKUP(A52,indice!A:A,indice!C:C)</f>
        <v>C</v>
      </c>
    </row>
    <row r="53" spans="1:8" x14ac:dyDescent="0.25">
      <c r="A53" t="s">
        <v>142</v>
      </c>
      <c r="B53" t="s">
        <v>143</v>
      </c>
      <c r="C53" s="57">
        <v>45628.59</v>
      </c>
      <c r="D53" s="57">
        <v>475.96</v>
      </c>
      <c r="E53" s="57">
        <v>0</v>
      </c>
      <c r="F53" s="57">
        <v>475.96</v>
      </c>
      <c r="G53" s="57">
        <v>46104.55</v>
      </c>
      <c r="H53" t="str">
        <f>_xlfn.XLOOKUP(A53,indice!A:A,indice!C:C)</f>
        <v>C</v>
      </c>
    </row>
    <row r="54" spans="1:8" x14ac:dyDescent="0.25">
      <c r="A54" t="s">
        <v>144</v>
      </c>
      <c r="B54" t="s">
        <v>145</v>
      </c>
      <c r="C54" s="57">
        <v>4929.2</v>
      </c>
      <c r="D54" s="57">
        <v>973.7</v>
      </c>
      <c r="E54" s="57">
        <v>0</v>
      </c>
      <c r="F54" s="57">
        <v>973.7</v>
      </c>
      <c r="G54" s="57">
        <v>5902.9</v>
      </c>
      <c r="H54" t="str">
        <f>_xlfn.XLOOKUP(A54,indice!A:A,indice!C:C)</f>
        <v>C</v>
      </c>
    </row>
    <row r="55" spans="1:8" x14ac:dyDescent="0.25">
      <c r="A55" t="s">
        <v>148</v>
      </c>
      <c r="B55" t="s">
        <v>149</v>
      </c>
      <c r="C55" s="57">
        <v>14261.99</v>
      </c>
      <c r="D55" s="57">
        <v>2500</v>
      </c>
      <c r="E55" s="57">
        <v>0</v>
      </c>
      <c r="F55" s="57">
        <v>2500</v>
      </c>
      <c r="G55" s="57">
        <v>16761.990000000002</v>
      </c>
      <c r="H55" t="str">
        <f>_xlfn.XLOOKUP(A55,indice!A:A,indice!C:C)</f>
        <v>C</v>
      </c>
    </row>
    <row r="56" spans="1:8" x14ac:dyDescent="0.25">
      <c r="A56" t="s">
        <v>152</v>
      </c>
      <c r="B56" t="s">
        <v>153</v>
      </c>
      <c r="C56" s="57">
        <v>8089.9</v>
      </c>
      <c r="D56" s="57">
        <v>4044.95</v>
      </c>
      <c r="E56" s="57">
        <v>0</v>
      </c>
      <c r="F56" s="57">
        <v>4044.95</v>
      </c>
      <c r="G56" s="57">
        <v>12134.85</v>
      </c>
      <c r="H56" t="str">
        <f>_xlfn.XLOOKUP(A56,indice!A:A,indice!C:C)</f>
        <v>C</v>
      </c>
    </row>
    <row r="57" spans="1:8" x14ac:dyDescent="0.25">
      <c r="A57" t="s">
        <v>154</v>
      </c>
      <c r="B57" t="s">
        <v>155</v>
      </c>
      <c r="C57" s="57">
        <v>2722766.87</v>
      </c>
      <c r="D57" s="57">
        <v>386336.52</v>
      </c>
      <c r="E57" s="57">
        <v>32814.51</v>
      </c>
      <c r="F57" s="57">
        <v>353522.01</v>
      </c>
      <c r="G57" s="57">
        <v>3076288.88</v>
      </c>
      <c r="H57" t="str">
        <f>_xlfn.XLOOKUP(A57,indice!A:A,indice!C:C)</f>
        <v>C</v>
      </c>
    </row>
    <row r="58" spans="1:8" x14ac:dyDescent="0.25">
      <c r="A58" t="s">
        <v>156</v>
      </c>
      <c r="B58" t="s">
        <v>157</v>
      </c>
      <c r="C58" s="57">
        <v>641217.38</v>
      </c>
      <c r="D58" s="57">
        <v>0</v>
      </c>
      <c r="E58" s="57">
        <v>0</v>
      </c>
      <c r="F58" s="57">
        <v>0</v>
      </c>
      <c r="G58" s="57">
        <v>641217.38</v>
      </c>
      <c r="H58" t="str">
        <f>_xlfn.XLOOKUP(A58,indice!A:A,indice!C:C)</f>
        <v>C</v>
      </c>
    </row>
    <row r="59" spans="1:8" x14ac:dyDescent="0.25">
      <c r="A59" t="s">
        <v>160</v>
      </c>
      <c r="B59" t="s">
        <v>161</v>
      </c>
      <c r="C59" s="57">
        <v>800250.02</v>
      </c>
      <c r="D59" s="57">
        <v>417494.43</v>
      </c>
      <c r="E59" s="57">
        <v>0</v>
      </c>
      <c r="F59" s="57">
        <v>417494.43</v>
      </c>
      <c r="G59" s="57">
        <v>1217744.45</v>
      </c>
      <c r="H59" t="str">
        <f>_xlfn.XLOOKUP(A59,indice!A:A,indice!C:C)</f>
        <v>C</v>
      </c>
    </row>
    <row r="60" spans="1:8" x14ac:dyDescent="0.25">
      <c r="A60" t="s">
        <v>162</v>
      </c>
      <c r="B60" t="s">
        <v>163</v>
      </c>
      <c r="C60" s="57">
        <v>941357.3</v>
      </c>
      <c r="D60" s="57">
        <v>116529.43</v>
      </c>
      <c r="E60" s="57">
        <v>8529.3799999999992</v>
      </c>
      <c r="F60" s="57">
        <v>108000.05</v>
      </c>
      <c r="G60" s="57">
        <v>1049357.3500000001</v>
      </c>
      <c r="H60" t="str">
        <f>_xlfn.XLOOKUP(A60,indice!A:A,indice!C:C)</f>
        <v>C</v>
      </c>
    </row>
    <row r="61" spans="1:8" x14ac:dyDescent="0.25">
      <c r="A61" t="s">
        <v>164</v>
      </c>
      <c r="B61" t="s">
        <v>165</v>
      </c>
      <c r="C61" s="57">
        <v>3510494.77</v>
      </c>
      <c r="D61" s="57">
        <v>2106722.46</v>
      </c>
      <c r="E61" s="57">
        <v>186387.08</v>
      </c>
      <c r="F61" s="57">
        <v>1920335.38</v>
      </c>
      <c r="G61" s="57">
        <v>5430830.1500000004</v>
      </c>
      <c r="H61" t="str">
        <f>_xlfn.XLOOKUP(A61,indice!A:A,indice!C:C)</f>
        <v>C</v>
      </c>
    </row>
    <row r="62" spans="1:8" x14ac:dyDescent="0.25">
      <c r="A62" t="s">
        <v>166</v>
      </c>
      <c r="B62" t="s">
        <v>167</v>
      </c>
      <c r="C62" s="57">
        <v>63839.73</v>
      </c>
      <c r="D62" s="57">
        <v>21279.91</v>
      </c>
      <c r="E62" s="57">
        <v>0</v>
      </c>
      <c r="F62" s="57">
        <v>21279.91</v>
      </c>
      <c r="G62" s="57">
        <v>85119.64</v>
      </c>
      <c r="H62" t="str">
        <f>_xlfn.XLOOKUP(A62,indice!A:A,indice!C:C)</f>
        <v>C</v>
      </c>
    </row>
    <row r="63" spans="1:8" x14ac:dyDescent="0.25">
      <c r="A63" t="s">
        <v>168</v>
      </c>
      <c r="B63" t="s">
        <v>169</v>
      </c>
      <c r="C63" s="57">
        <v>41377.760000000002</v>
      </c>
      <c r="D63" s="57">
        <v>14970.02</v>
      </c>
      <c r="E63" s="57">
        <v>0</v>
      </c>
      <c r="F63" s="57">
        <v>14970.02</v>
      </c>
      <c r="G63" s="57">
        <v>56347.78</v>
      </c>
      <c r="H63" t="str">
        <f>_xlfn.XLOOKUP(A63,indice!A:A,indice!C:C)</f>
        <v>C</v>
      </c>
    </row>
    <row r="64" spans="1:8" x14ac:dyDescent="0.25">
      <c r="A64" t="s">
        <v>170</v>
      </c>
      <c r="B64" t="s">
        <v>171</v>
      </c>
      <c r="C64" s="57">
        <v>7206.22</v>
      </c>
      <c r="D64" s="57">
        <v>11082.49</v>
      </c>
      <c r="E64" s="57">
        <v>0</v>
      </c>
      <c r="F64" s="57">
        <v>11082.49</v>
      </c>
      <c r="G64" s="57">
        <v>18288.71</v>
      </c>
      <c r="H64" t="str">
        <f>_xlfn.XLOOKUP(A64,indice!A:A,indice!C:C)</f>
        <v>C</v>
      </c>
    </row>
    <row r="65" spans="1:8" x14ac:dyDescent="0.25">
      <c r="A65" t="s">
        <v>172</v>
      </c>
      <c r="B65" t="s">
        <v>173</v>
      </c>
      <c r="C65" s="57">
        <v>38831.14</v>
      </c>
      <c r="D65" s="57">
        <v>4065.4</v>
      </c>
      <c r="E65" s="57">
        <v>10.29</v>
      </c>
      <c r="F65" s="57">
        <v>4055.11</v>
      </c>
      <c r="G65" s="57">
        <v>42886.25</v>
      </c>
      <c r="H65" t="str">
        <f>_xlfn.XLOOKUP(A65,indice!A:A,indice!C:C)</f>
        <v>C</v>
      </c>
    </row>
    <row r="66" spans="1:8" x14ac:dyDescent="0.25">
      <c r="A66" t="s">
        <v>174</v>
      </c>
      <c r="B66" t="s">
        <v>175</v>
      </c>
      <c r="C66" s="57">
        <v>4596117.46</v>
      </c>
      <c r="D66" s="57">
        <v>314711.43</v>
      </c>
      <c r="E66" s="57">
        <v>0</v>
      </c>
      <c r="F66" s="57">
        <v>314711.43</v>
      </c>
      <c r="G66" s="57">
        <v>4910828.8899999997</v>
      </c>
      <c r="H66" t="str">
        <f>_xlfn.XLOOKUP(A66,indice!A:A,indice!C:C)</f>
        <v>C</v>
      </c>
    </row>
    <row r="67" spans="1:8" x14ac:dyDescent="0.25">
      <c r="A67" t="s">
        <v>395</v>
      </c>
      <c r="B67" t="s">
        <v>238</v>
      </c>
      <c r="C67" s="57">
        <v>176.69</v>
      </c>
      <c r="D67" s="57">
        <v>0</v>
      </c>
      <c r="E67" s="57">
        <v>0</v>
      </c>
      <c r="F67" s="57">
        <v>0</v>
      </c>
      <c r="G67" s="57">
        <v>176.69</v>
      </c>
      <c r="H67" t="str">
        <f>_xlfn.XLOOKUP(A67,indice!A:A,indice!C:C)</f>
        <v>C</v>
      </c>
    </row>
    <row r="68" spans="1:8" x14ac:dyDescent="0.25">
      <c r="A68" t="s">
        <v>176</v>
      </c>
      <c r="B68" t="s">
        <v>177</v>
      </c>
      <c r="C68" s="57">
        <v>119.4</v>
      </c>
      <c r="D68" s="57">
        <v>0</v>
      </c>
      <c r="E68" s="57">
        <v>0</v>
      </c>
      <c r="F68" s="57">
        <v>0</v>
      </c>
      <c r="G68" s="57">
        <v>119.4</v>
      </c>
      <c r="H68" t="str">
        <f>_xlfn.XLOOKUP(A68,indice!A:A,indice!C:C)</f>
        <v>C</v>
      </c>
    </row>
    <row r="69" spans="1:8" x14ac:dyDescent="0.25">
      <c r="A69" t="s">
        <v>178</v>
      </c>
      <c r="B69" t="s">
        <v>179</v>
      </c>
      <c r="C69" s="57">
        <v>806422.57</v>
      </c>
      <c r="D69" s="57">
        <v>0</v>
      </c>
      <c r="E69" s="57">
        <v>0</v>
      </c>
      <c r="F69" s="57">
        <v>0</v>
      </c>
      <c r="G69" s="57">
        <v>806422.57</v>
      </c>
      <c r="H69" t="str">
        <f>_xlfn.XLOOKUP(A69,indice!A:A,indice!C:C)</f>
        <v>C</v>
      </c>
    </row>
    <row r="70" spans="1:8" x14ac:dyDescent="0.25">
      <c r="A70" t="s">
        <v>180</v>
      </c>
      <c r="B70" t="s">
        <v>181</v>
      </c>
      <c r="C70" s="57">
        <v>5295455.8600000003</v>
      </c>
      <c r="D70" s="57">
        <v>640469.61</v>
      </c>
      <c r="E70" s="57">
        <v>0</v>
      </c>
      <c r="F70" s="57">
        <v>640469.61</v>
      </c>
      <c r="G70" s="57">
        <v>5935925.4699999997</v>
      </c>
      <c r="H70" t="str">
        <f>_xlfn.XLOOKUP(A70,indice!A:A,indice!C:C)</f>
        <v>C</v>
      </c>
    </row>
    <row r="71" spans="1:8" x14ac:dyDescent="0.25">
      <c r="A71" t="s">
        <v>182</v>
      </c>
      <c r="B71" t="s">
        <v>183</v>
      </c>
      <c r="C71" s="57">
        <v>1968722.4</v>
      </c>
      <c r="D71" s="57">
        <v>178132.5</v>
      </c>
      <c r="E71" s="57">
        <v>0</v>
      </c>
      <c r="F71" s="57">
        <v>178132.5</v>
      </c>
      <c r="G71" s="57">
        <v>2146854.9</v>
      </c>
      <c r="H71" t="str">
        <f>_xlfn.XLOOKUP(A71,indice!A:A,indice!C:C)</f>
        <v>C</v>
      </c>
    </row>
    <row r="72" spans="1:8" x14ac:dyDescent="0.25">
      <c r="A72" t="s">
        <v>427</v>
      </c>
      <c r="B72" t="s">
        <v>428</v>
      </c>
      <c r="C72" s="57">
        <v>67776.44</v>
      </c>
      <c r="D72" s="57">
        <v>62637.52</v>
      </c>
      <c r="E72" s="57">
        <v>0</v>
      </c>
      <c r="F72" s="57">
        <v>62637.52</v>
      </c>
      <c r="G72" s="57">
        <v>130413.96</v>
      </c>
      <c r="H72" t="str">
        <f>_xlfn.XLOOKUP(A72,indice!A:A,indice!C:C)</f>
        <v>C</v>
      </c>
    </row>
    <row r="73" spans="1:8" x14ac:dyDescent="0.25">
      <c r="A73" t="s">
        <v>184</v>
      </c>
      <c r="B73" t="s">
        <v>185</v>
      </c>
      <c r="C73" s="57">
        <v>13063783.68</v>
      </c>
      <c r="D73" s="57">
        <v>0</v>
      </c>
      <c r="E73" s="57">
        <v>0</v>
      </c>
      <c r="F73" s="57">
        <v>0</v>
      </c>
      <c r="G73" s="57">
        <v>13063783.68</v>
      </c>
      <c r="H73" t="str">
        <f>_xlfn.XLOOKUP(A73,indice!A:A,indice!C:C)</f>
        <v>C</v>
      </c>
    </row>
    <row r="74" spans="1:8" x14ac:dyDescent="0.25">
      <c r="A74" t="s">
        <v>186</v>
      </c>
      <c r="B74" t="s">
        <v>187</v>
      </c>
      <c r="C74" s="57">
        <v>1663060.67</v>
      </c>
      <c r="D74" s="57">
        <v>173710.07999999999</v>
      </c>
      <c r="E74" s="57">
        <v>1136.32</v>
      </c>
      <c r="F74" s="57">
        <v>172573.76</v>
      </c>
      <c r="G74" s="57">
        <v>1835634.43</v>
      </c>
      <c r="H74" t="str">
        <f>_xlfn.XLOOKUP(A74,indice!A:A,indice!C:C)</f>
        <v>C</v>
      </c>
    </row>
    <row r="75" spans="1:8" x14ac:dyDescent="0.25">
      <c r="A75" t="s">
        <v>188</v>
      </c>
      <c r="B75" t="s">
        <v>189</v>
      </c>
      <c r="C75" s="57">
        <v>12656.27</v>
      </c>
      <c r="D75" s="57">
        <v>3627.75</v>
      </c>
      <c r="E75" s="57">
        <v>0</v>
      </c>
      <c r="F75" s="57">
        <v>3627.75</v>
      </c>
      <c r="G75" s="57">
        <v>16284.02</v>
      </c>
      <c r="H75" t="str">
        <f>_xlfn.XLOOKUP(A75,indice!A:A,indice!C:C)</f>
        <v>C</v>
      </c>
    </row>
    <row r="76" spans="1:8" x14ac:dyDescent="0.25">
      <c r="A76" t="s">
        <v>190</v>
      </c>
      <c r="B76" t="s">
        <v>191</v>
      </c>
      <c r="C76" s="57">
        <v>3689357.93</v>
      </c>
      <c r="D76" s="57">
        <v>1261158.97</v>
      </c>
      <c r="E76" s="57">
        <v>33119.629999999997</v>
      </c>
      <c r="F76" s="57">
        <v>1228039.3400000001</v>
      </c>
      <c r="G76" s="57">
        <v>4917397.2699999996</v>
      </c>
      <c r="H76" t="str">
        <f>_xlfn.XLOOKUP(A76,indice!A:A,indice!C:C)</f>
        <v>C</v>
      </c>
    </row>
    <row r="77" spans="1:8" x14ac:dyDescent="0.25">
      <c r="A77" t="s">
        <v>192</v>
      </c>
      <c r="B77" t="s">
        <v>193</v>
      </c>
      <c r="C77" s="57">
        <v>4013851.2</v>
      </c>
      <c r="D77" s="57">
        <v>0</v>
      </c>
      <c r="E77" s="57">
        <v>0</v>
      </c>
      <c r="F77" s="57">
        <v>0</v>
      </c>
      <c r="G77" s="57">
        <v>4013851.2</v>
      </c>
      <c r="H77" t="str">
        <f>_xlfn.XLOOKUP(A77,indice!A:A,indice!C:C)</f>
        <v>C</v>
      </c>
    </row>
    <row r="78" spans="1:8" x14ac:dyDescent="0.25">
      <c r="A78" t="s">
        <v>443</v>
      </c>
      <c r="B78" t="s">
        <v>444</v>
      </c>
      <c r="C78" s="57">
        <v>28708</v>
      </c>
      <c r="D78" s="57">
        <v>0</v>
      </c>
      <c r="E78" s="57">
        <v>0</v>
      </c>
      <c r="F78" s="57">
        <v>0</v>
      </c>
      <c r="G78" s="57">
        <v>28708</v>
      </c>
      <c r="H78" t="str">
        <f>_xlfn.XLOOKUP(A78,indice!A:A,indice!C:C)</f>
        <v>C</v>
      </c>
    </row>
    <row r="79" spans="1:8" x14ac:dyDescent="0.25">
      <c r="A79" t="s">
        <v>194</v>
      </c>
      <c r="B79" t="s">
        <v>195</v>
      </c>
      <c r="C79" s="57">
        <v>81576.98</v>
      </c>
      <c r="D79" s="57">
        <v>22755.24</v>
      </c>
      <c r="E79" s="57">
        <v>119.8</v>
      </c>
      <c r="F79" s="57">
        <v>22635.439999999999</v>
      </c>
      <c r="G79" s="57">
        <v>104212.42</v>
      </c>
      <c r="H79" t="str">
        <f>_xlfn.XLOOKUP(A79,indice!A:A,indice!C:C)</f>
        <v>C</v>
      </c>
    </row>
    <row r="80" spans="1:8" x14ac:dyDescent="0.25">
      <c r="A80" t="s">
        <v>516</v>
      </c>
      <c r="B80" t="s">
        <v>315</v>
      </c>
      <c r="C80" s="57">
        <v>0</v>
      </c>
      <c r="D80" s="57">
        <v>1345.26</v>
      </c>
      <c r="E80" s="57">
        <v>0</v>
      </c>
      <c r="F80" s="57">
        <v>1345.26</v>
      </c>
      <c r="G80" s="57">
        <v>1345.26</v>
      </c>
      <c r="H80" t="str">
        <f>_xlfn.XLOOKUP(A80,indice!A:A,indice!C:C)</f>
        <v>C</v>
      </c>
    </row>
    <row r="81" spans="1:8" x14ac:dyDescent="0.25">
      <c r="A81" t="s">
        <v>196</v>
      </c>
      <c r="B81" t="s">
        <v>197</v>
      </c>
      <c r="C81" s="57">
        <v>25392562.469999999</v>
      </c>
      <c r="D81" s="57">
        <v>0</v>
      </c>
      <c r="E81" s="57">
        <v>0</v>
      </c>
      <c r="F81" s="57">
        <v>0</v>
      </c>
      <c r="G81" s="57">
        <v>25392562.469999999</v>
      </c>
      <c r="H81" t="str">
        <f>_xlfn.XLOOKUP(A81,indice!A:A,indice!C:C)</f>
        <v>C</v>
      </c>
    </row>
    <row r="82" spans="1:8" x14ac:dyDescent="0.25">
      <c r="A82" t="s">
        <v>198</v>
      </c>
      <c r="B82" t="s">
        <v>199</v>
      </c>
      <c r="C82" s="57">
        <v>-107667.75</v>
      </c>
      <c r="D82" s="57">
        <v>0</v>
      </c>
      <c r="E82" s="57">
        <v>12296</v>
      </c>
      <c r="F82" s="57">
        <v>-12296</v>
      </c>
      <c r="G82" s="57">
        <v>-119963.75</v>
      </c>
      <c r="H82" t="str">
        <f>_xlfn.XLOOKUP(A82,indice!A:A,indice!C:C)</f>
        <v>C</v>
      </c>
    </row>
    <row r="83" spans="1:8" x14ac:dyDescent="0.25">
      <c r="A83" t="s">
        <v>200</v>
      </c>
      <c r="B83" t="s">
        <v>201</v>
      </c>
      <c r="C83" s="57">
        <v>886316.49</v>
      </c>
      <c r="D83" s="57">
        <v>37429.71</v>
      </c>
      <c r="E83" s="57">
        <v>0</v>
      </c>
      <c r="F83" s="57">
        <v>37429.71</v>
      </c>
      <c r="G83" s="57">
        <v>923746.2</v>
      </c>
      <c r="H83" t="str">
        <f>_xlfn.XLOOKUP(A83,indice!A:A,indice!C:C)</f>
        <v>C</v>
      </c>
    </row>
    <row r="84" spans="1:8" x14ac:dyDescent="0.25">
      <c r="A84" t="s">
        <v>202</v>
      </c>
      <c r="B84" t="s">
        <v>203</v>
      </c>
      <c r="C84" s="57">
        <v>82760.66</v>
      </c>
      <c r="D84" s="57">
        <v>18461.8</v>
      </c>
      <c r="E84" s="57">
        <v>0</v>
      </c>
      <c r="F84" s="57">
        <v>18461.8</v>
      </c>
      <c r="G84" s="57">
        <v>101222.46</v>
      </c>
      <c r="H84" t="str">
        <f>_xlfn.XLOOKUP(A84,indice!A:A,indice!C:C)</f>
        <v>C</v>
      </c>
    </row>
    <row r="85" spans="1:8" x14ac:dyDescent="0.25">
      <c r="A85" t="s">
        <v>204</v>
      </c>
      <c r="B85" t="s">
        <v>205</v>
      </c>
      <c r="C85" s="57">
        <v>360510.4</v>
      </c>
      <c r="D85" s="57">
        <v>87858.2</v>
      </c>
      <c r="E85" s="57">
        <v>0</v>
      </c>
      <c r="F85" s="57">
        <v>87858.2</v>
      </c>
      <c r="G85" s="57">
        <v>448368.6</v>
      </c>
      <c r="H85" t="str">
        <f>_xlfn.XLOOKUP(A85,indice!A:A,indice!C:C)</f>
        <v>C</v>
      </c>
    </row>
    <row r="86" spans="1:8" x14ac:dyDescent="0.25">
      <c r="A86" t="s">
        <v>206</v>
      </c>
      <c r="B86" t="s">
        <v>207</v>
      </c>
      <c r="C86" s="57">
        <v>230534.64</v>
      </c>
      <c r="D86" s="57">
        <v>32857.769999999997</v>
      </c>
      <c r="E86" s="57">
        <v>0</v>
      </c>
      <c r="F86" s="57">
        <v>32857.769999999997</v>
      </c>
      <c r="G86" s="57">
        <v>263392.40999999997</v>
      </c>
      <c r="H86" t="str">
        <f>_xlfn.XLOOKUP(A86,indice!A:A,indice!C:C)</f>
        <v>C</v>
      </c>
    </row>
    <row r="87" spans="1:8" x14ac:dyDescent="0.25">
      <c r="A87" t="s">
        <v>208</v>
      </c>
      <c r="B87" t="s">
        <v>209</v>
      </c>
      <c r="C87" s="57">
        <v>278332.73</v>
      </c>
      <c r="D87" s="57">
        <v>13079.52</v>
      </c>
      <c r="E87" s="57">
        <v>0</v>
      </c>
      <c r="F87" s="57">
        <v>13079.52</v>
      </c>
      <c r="G87" s="57">
        <v>291412.25</v>
      </c>
      <c r="H87" t="str">
        <f>_xlfn.XLOOKUP(A87,indice!A:A,indice!C:C)</f>
        <v>C</v>
      </c>
    </row>
    <row r="88" spans="1:8" x14ac:dyDescent="0.25">
      <c r="A88" t="s">
        <v>210</v>
      </c>
      <c r="B88" t="s">
        <v>211</v>
      </c>
      <c r="C88" s="57">
        <v>216010.22</v>
      </c>
      <c r="D88" s="57">
        <v>7824.6</v>
      </c>
      <c r="E88" s="57">
        <v>0</v>
      </c>
      <c r="F88" s="57">
        <v>7824.6</v>
      </c>
      <c r="G88" s="57">
        <v>223834.82</v>
      </c>
      <c r="H88" t="str">
        <f>_xlfn.XLOOKUP(A88,indice!A:A,indice!C:C)</f>
        <v>C</v>
      </c>
    </row>
    <row r="89" spans="1:8" x14ac:dyDescent="0.25">
      <c r="A89" t="s">
        <v>212</v>
      </c>
      <c r="B89" t="s">
        <v>213</v>
      </c>
      <c r="C89" s="57">
        <v>159399.75</v>
      </c>
      <c r="D89" s="57">
        <v>1850</v>
      </c>
      <c r="E89" s="57">
        <v>0</v>
      </c>
      <c r="F89" s="57">
        <v>1850</v>
      </c>
      <c r="G89" s="57">
        <v>161249.75</v>
      </c>
      <c r="H89" t="str">
        <f>_xlfn.XLOOKUP(A89,indice!A:A,indice!C:C)</f>
        <v>C</v>
      </c>
    </row>
    <row r="90" spans="1:8" x14ac:dyDescent="0.25">
      <c r="A90" t="s">
        <v>214</v>
      </c>
      <c r="B90" t="s">
        <v>215</v>
      </c>
      <c r="C90" s="57">
        <v>-87197255.620000005</v>
      </c>
      <c r="D90" s="57">
        <v>0</v>
      </c>
      <c r="E90" s="57">
        <v>7803746.4699999997</v>
      </c>
      <c r="F90" s="57">
        <v>-7803746.4699999997</v>
      </c>
      <c r="G90" s="57">
        <v>-95001002.090000004</v>
      </c>
      <c r="H90" t="str">
        <f>_xlfn.XLOOKUP(A90,indice!A:A,indice!C:C)</f>
        <v>C</v>
      </c>
    </row>
    <row r="91" spans="1:8" x14ac:dyDescent="0.25">
      <c r="A91" t="s">
        <v>216</v>
      </c>
      <c r="B91" t="s">
        <v>217</v>
      </c>
      <c r="C91" s="57">
        <v>539696.68000000005</v>
      </c>
      <c r="D91" s="57">
        <v>68530.86</v>
      </c>
      <c r="E91" s="57">
        <v>0</v>
      </c>
      <c r="F91" s="57">
        <v>68530.86</v>
      </c>
      <c r="G91" s="57">
        <v>608227.54</v>
      </c>
      <c r="H91" t="str">
        <f>_xlfn.XLOOKUP(A91,indice!A:A,indice!C:C)</f>
        <v>C</v>
      </c>
    </row>
    <row r="92" spans="1:8" x14ac:dyDescent="0.25">
      <c r="A92" t="s">
        <v>220</v>
      </c>
      <c r="B92" t="s">
        <v>221</v>
      </c>
      <c r="C92" s="57">
        <v>2855480.04</v>
      </c>
      <c r="D92" s="57">
        <v>43096.639999999999</v>
      </c>
      <c r="E92" s="57">
        <v>2505.33</v>
      </c>
      <c r="F92" s="57">
        <v>40591.31</v>
      </c>
      <c r="G92" s="57">
        <v>2896071.35</v>
      </c>
      <c r="H92" t="str">
        <f>_xlfn.XLOOKUP(A92,indice!A:A,indice!C:C)</f>
        <v>S</v>
      </c>
    </row>
    <row r="93" spans="1:8" x14ac:dyDescent="0.25">
      <c r="A93" t="s">
        <v>222</v>
      </c>
      <c r="B93" t="s">
        <v>133</v>
      </c>
      <c r="C93" s="57">
        <v>46837.11</v>
      </c>
      <c r="D93" s="57">
        <v>0</v>
      </c>
      <c r="E93" s="57">
        <v>0</v>
      </c>
      <c r="F93" s="57">
        <v>0</v>
      </c>
      <c r="G93" s="57">
        <v>46837.11</v>
      </c>
      <c r="H93">
        <f>_xlfn.XLOOKUP(A93,indice!A:A,indice!C:C)</f>
        <v>10</v>
      </c>
    </row>
    <row r="94" spans="1:8" x14ac:dyDescent="0.25">
      <c r="A94" t="s">
        <v>223</v>
      </c>
      <c r="B94" t="s">
        <v>135</v>
      </c>
      <c r="C94" s="57">
        <v>4122.03</v>
      </c>
      <c r="D94" s="57">
        <v>0</v>
      </c>
      <c r="E94" s="57">
        <v>0</v>
      </c>
      <c r="F94" s="57">
        <v>0</v>
      </c>
      <c r="G94" s="57">
        <v>4122.03</v>
      </c>
      <c r="H94">
        <f>_xlfn.XLOOKUP(A94,indice!A:A,indice!C:C)</f>
        <v>10</v>
      </c>
    </row>
    <row r="95" spans="1:8" x14ac:dyDescent="0.25">
      <c r="A95" t="s">
        <v>224</v>
      </c>
      <c r="B95" t="s">
        <v>137</v>
      </c>
      <c r="C95" s="57">
        <v>5332.71</v>
      </c>
      <c r="D95" s="57">
        <v>0</v>
      </c>
      <c r="E95" s="57">
        <v>0</v>
      </c>
      <c r="F95" s="57">
        <v>0</v>
      </c>
      <c r="G95" s="57">
        <v>5332.71</v>
      </c>
      <c r="H95">
        <f>_xlfn.XLOOKUP(A95,indice!A:A,indice!C:C)</f>
        <v>10</v>
      </c>
    </row>
    <row r="96" spans="1:8" x14ac:dyDescent="0.25">
      <c r="A96" t="s">
        <v>225</v>
      </c>
      <c r="B96" t="s">
        <v>63</v>
      </c>
      <c r="C96" s="57">
        <v>-26.1</v>
      </c>
      <c r="D96" s="57">
        <v>0</v>
      </c>
      <c r="E96" s="57">
        <v>0</v>
      </c>
      <c r="F96" s="57">
        <v>0</v>
      </c>
      <c r="G96" s="57">
        <v>-26.1</v>
      </c>
      <c r="H96">
        <f>_xlfn.XLOOKUP(A96,indice!A:A,indice!C:C)</f>
        <v>10</v>
      </c>
    </row>
    <row r="97" spans="1:8" x14ac:dyDescent="0.25">
      <c r="A97" t="s">
        <v>226</v>
      </c>
      <c r="B97" t="s">
        <v>64</v>
      </c>
      <c r="C97" s="57">
        <v>4479.16</v>
      </c>
      <c r="D97" s="57">
        <v>0</v>
      </c>
      <c r="E97" s="57">
        <v>0</v>
      </c>
      <c r="F97" s="57">
        <v>0</v>
      </c>
      <c r="G97" s="57">
        <v>4479.16</v>
      </c>
      <c r="H97">
        <f>_xlfn.XLOOKUP(A97,indice!A:A,indice!C:C)</f>
        <v>10</v>
      </c>
    </row>
    <row r="98" spans="1:8" x14ac:dyDescent="0.25">
      <c r="A98" t="s">
        <v>227</v>
      </c>
      <c r="B98" t="s">
        <v>228</v>
      </c>
      <c r="C98" s="57">
        <v>34.979999999999997</v>
      </c>
      <c r="D98" s="57">
        <v>0</v>
      </c>
      <c r="E98" s="57">
        <v>0</v>
      </c>
      <c r="F98" s="57">
        <v>0</v>
      </c>
      <c r="G98" s="57">
        <v>34.979999999999997</v>
      </c>
      <c r="H98">
        <f>_xlfn.XLOOKUP(A98,indice!A:A,indice!C:C)</f>
        <v>10</v>
      </c>
    </row>
    <row r="99" spans="1:8" x14ac:dyDescent="0.25">
      <c r="A99" t="s">
        <v>396</v>
      </c>
      <c r="B99" t="s">
        <v>145</v>
      </c>
      <c r="C99" s="57">
        <v>-65</v>
      </c>
      <c r="D99" s="57">
        <v>0</v>
      </c>
      <c r="E99" s="57">
        <v>0</v>
      </c>
      <c r="F99" s="57">
        <v>0</v>
      </c>
      <c r="G99" s="57">
        <v>-65</v>
      </c>
      <c r="H99">
        <f>_xlfn.XLOOKUP(A99,indice!A:A,indice!C:C)</f>
        <v>10</v>
      </c>
    </row>
    <row r="100" spans="1:8" x14ac:dyDescent="0.25">
      <c r="A100" t="s">
        <v>229</v>
      </c>
      <c r="B100" t="s">
        <v>151</v>
      </c>
      <c r="C100" s="57">
        <v>53</v>
      </c>
      <c r="D100" s="57">
        <v>0</v>
      </c>
      <c r="E100" s="57">
        <v>0</v>
      </c>
      <c r="F100" s="57">
        <v>0</v>
      </c>
      <c r="G100" s="57">
        <v>53</v>
      </c>
      <c r="H100">
        <f>_xlfn.XLOOKUP(A100,indice!A:A,indice!C:C)</f>
        <v>10</v>
      </c>
    </row>
    <row r="101" spans="1:8" x14ac:dyDescent="0.25">
      <c r="A101" t="s">
        <v>230</v>
      </c>
      <c r="B101" t="s">
        <v>155</v>
      </c>
      <c r="C101" s="57">
        <v>110743.57</v>
      </c>
      <c r="D101" s="57">
        <v>34769.83</v>
      </c>
      <c r="E101" s="57">
        <v>2505.33</v>
      </c>
      <c r="F101" s="57">
        <v>32264.5</v>
      </c>
      <c r="G101" s="57">
        <v>143008.07</v>
      </c>
      <c r="H101">
        <f>_xlfn.XLOOKUP(A101,indice!A:A,indice!C:C)</f>
        <v>10</v>
      </c>
    </row>
    <row r="102" spans="1:8" x14ac:dyDescent="0.25">
      <c r="A102" t="s">
        <v>231</v>
      </c>
      <c r="B102" t="s">
        <v>232</v>
      </c>
      <c r="C102" s="57">
        <v>445758.97</v>
      </c>
      <c r="D102" s="57">
        <v>0</v>
      </c>
      <c r="E102" s="57">
        <v>0</v>
      </c>
      <c r="F102" s="57">
        <v>0</v>
      </c>
      <c r="G102" s="57">
        <v>445758.97</v>
      </c>
      <c r="H102">
        <f>_xlfn.XLOOKUP(A102,indice!A:A,indice!C:C)</f>
        <v>10</v>
      </c>
    </row>
    <row r="103" spans="1:8" x14ac:dyDescent="0.25">
      <c r="A103" t="s">
        <v>233</v>
      </c>
      <c r="B103" t="s">
        <v>161</v>
      </c>
      <c r="C103" s="57">
        <v>248.37</v>
      </c>
      <c r="D103" s="57">
        <v>0</v>
      </c>
      <c r="E103" s="57">
        <v>0</v>
      </c>
      <c r="F103" s="57">
        <v>0</v>
      </c>
      <c r="G103" s="57">
        <v>248.37</v>
      </c>
      <c r="H103">
        <f>_xlfn.XLOOKUP(A103,indice!A:A,indice!C:C)</f>
        <v>10</v>
      </c>
    </row>
    <row r="104" spans="1:8" x14ac:dyDescent="0.25">
      <c r="A104" t="s">
        <v>473</v>
      </c>
      <c r="B104" t="s">
        <v>165</v>
      </c>
      <c r="C104" s="57">
        <v>46794.79</v>
      </c>
      <c r="D104" s="57">
        <v>0</v>
      </c>
      <c r="E104" s="57">
        <v>0</v>
      </c>
      <c r="F104" s="57">
        <v>0</v>
      </c>
      <c r="G104" s="57">
        <v>46794.79</v>
      </c>
      <c r="H104">
        <f>_xlfn.XLOOKUP(A104,indice!A:A,indice!C:C)</f>
        <v>10</v>
      </c>
    </row>
    <row r="105" spans="1:8" x14ac:dyDescent="0.25">
      <c r="A105" t="s">
        <v>414</v>
      </c>
      <c r="B105" t="s">
        <v>171</v>
      </c>
      <c r="C105" s="57">
        <v>826.8</v>
      </c>
      <c r="D105" s="57">
        <v>0</v>
      </c>
      <c r="E105" s="57">
        <v>0</v>
      </c>
      <c r="F105" s="57">
        <v>0</v>
      </c>
      <c r="G105" s="57">
        <v>826.8</v>
      </c>
      <c r="H105">
        <f>_xlfn.XLOOKUP(A105,indice!A:A,indice!C:C)</f>
        <v>10</v>
      </c>
    </row>
    <row r="106" spans="1:8" x14ac:dyDescent="0.25">
      <c r="A106" t="s">
        <v>234</v>
      </c>
      <c r="B106" t="s">
        <v>173</v>
      </c>
      <c r="C106" s="57">
        <v>561.05999999999995</v>
      </c>
      <c r="D106" s="57">
        <v>0</v>
      </c>
      <c r="E106" s="57">
        <v>0</v>
      </c>
      <c r="F106" s="57">
        <v>0</v>
      </c>
      <c r="G106" s="57">
        <v>561.05999999999995</v>
      </c>
      <c r="H106">
        <f>_xlfn.XLOOKUP(A106,indice!A:A,indice!C:C)</f>
        <v>10</v>
      </c>
    </row>
    <row r="107" spans="1:8" x14ac:dyDescent="0.25">
      <c r="A107" t="s">
        <v>235</v>
      </c>
      <c r="B107" t="s">
        <v>236</v>
      </c>
      <c r="C107" s="57">
        <v>171406.86</v>
      </c>
      <c r="D107" s="57">
        <v>1851.12</v>
      </c>
      <c r="E107" s="57">
        <v>0</v>
      </c>
      <c r="F107" s="57">
        <v>1851.12</v>
      </c>
      <c r="G107" s="57">
        <v>173257.98</v>
      </c>
      <c r="H107">
        <f>_xlfn.XLOOKUP(A107,indice!A:A,indice!C:C)</f>
        <v>10</v>
      </c>
    </row>
    <row r="108" spans="1:8" x14ac:dyDescent="0.25">
      <c r="A108" t="s">
        <v>237</v>
      </c>
      <c r="B108" t="s">
        <v>238</v>
      </c>
      <c r="C108" s="57">
        <v>1050</v>
      </c>
      <c r="D108" s="57">
        <v>0</v>
      </c>
      <c r="E108" s="57">
        <v>0</v>
      </c>
      <c r="F108" s="57">
        <v>0</v>
      </c>
      <c r="G108" s="57">
        <v>1050</v>
      </c>
      <c r="H108">
        <f>_xlfn.XLOOKUP(A108,indice!A:A,indice!C:C)</f>
        <v>10</v>
      </c>
    </row>
    <row r="109" spans="1:8" x14ac:dyDescent="0.25">
      <c r="A109" t="s">
        <v>445</v>
      </c>
      <c r="B109" t="s">
        <v>177</v>
      </c>
      <c r="C109" s="57">
        <v>55520.85</v>
      </c>
      <c r="D109" s="57">
        <v>0</v>
      </c>
      <c r="E109" s="57">
        <v>0</v>
      </c>
      <c r="F109" s="57">
        <v>0</v>
      </c>
      <c r="G109" s="57">
        <v>55520.85</v>
      </c>
      <c r="H109">
        <f>_xlfn.XLOOKUP(A109,indice!A:A,indice!C:C)</f>
        <v>10</v>
      </c>
    </row>
    <row r="110" spans="1:8" x14ac:dyDescent="0.25">
      <c r="A110" t="s">
        <v>239</v>
      </c>
      <c r="B110" t="s">
        <v>179</v>
      </c>
      <c r="C110" s="57">
        <v>4282.03</v>
      </c>
      <c r="D110" s="57">
        <v>0</v>
      </c>
      <c r="E110" s="57">
        <v>0</v>
      </c>
      <c r="F110" s="57">
        <v>0</v>
      </c>
      <c r="G110" s="57">
        <v>4282.03</v>
      </c>
      <c r="H110">
        <f>_xlfn.XLOOKUP(A110,indice!A:A,indice!C:C)</f>
        <v>10</v>
      </c>
    </row>
    <row r="111" spans="1:8" x14ac:dyDescent="0.25">
      <c r="A111" t="s">
        <v>240</v>
      </c>
      <c r="B111" t="s">
        <v>187</v>
      </c>
      <c r="C111" s="57">
        <v>11938.25</v>
      </c>
      <c r="D111" s="57">
        <v>0</v>
      </c>
      <c r="E111" s="57">
        <v>0</v>
      </c>
      <c r="F111" s="57">
        <v>0</v>
      </c>
      <c r="G111" s="57">
        <v>11938.25</v>
      </c>
      <c r="H111">
        <f>_xlfn.XLOOKUP(A111,indice!A:A,indice!C:C)</f>
        <v>10</v>
      </c>
    </row>
    <row r="112" spans="1:8" x14ac:dyDescent="0.25">
      <c r="A112" t="s">
        <v>468</v>
      </c>
      <c r="B112" t="s">
        <v>189</v>
      </c>
      <c r="C112" s="57">
        <v>209.4</v>
      </c>
      <c r="D112" s="57">
        <v>0</v>
      </c>
      <c r="E112" s="57">
        <v>0</v>
      </c>
      <c r="F112" s="57">
        <v>0</v>
      </c>
      <c r="G112" s="57">
        <v>209.4</v>
      </c>
      <c r="H112">
        <f>_xlfn.XLOOKUP(A112,indice!A:A,indice!C:C)</f>
        <v>10</v>
      </c>
    </row>
    <row r="113" spans="1:8" x14ac:dyDescent="0.25">
      <c r="A113" t="s">
        <v>241</v>
      </c>
      <c r="B113" t="s">
        <v>191</v>
      </c>
      <c r="C113" s="57">
        <v>19427.07</v>
      </c>
      <c r="D113" s="57">
        <v>6475.69</v>
      </c>
      <c r="E113" s="57">
        <v>0</v>
      </c>
      <c r="F113" s="57">
        <v>6475.69</v>
      </c>
      <c r="G113" s="57">
        <v>25902.76</v>
      </c>
      <c r="H113">
        <f>_xlfn.XLOOKUP(A113,indice!A:A,indice!C:C)</f>
        <v>10</v>
      </c>
    </row>
    <row r="114" spans="1:8" x14ac:dyDescent="0.25">
      <c r="A114" t="s">
        <v>242</v>
      </c>
      <c r="B114" t="s">
        <v>243</v>
      </c>
      <c r="C114" s="57">
        <v>12.69</v>
      </c>
      <c r="D114" s="57">
        <v>0</v>
      </c>
      <c r="E114" s="57">
        <v>0</v>
      </c>
      <c r="F114" s="57">
        <v>0</v>
      </c>
      <c r="G114" s="57">
        <v>12.69</v>
      </c>
      <c r="H114">
        <f>_xlfn.XLOOKUP(A114,indice!A:A,indice!C:C)</f>
        <v>10</v>
      </c>
    </row>
    <row r="115" spans="1:8" x14ac:dyDescent="0.25">
      <c r="A115" t="s">
        <v>460</v>
      </c>
      <c r="B115" t="s">
        <v>461</v>
      </c>
      <c r="C115" s="57">
        <v>-52.74</v>
      </c>
      <c r="D115" s="57">
        <v>0</v>
      </c>
      <c r="E115" s="57">
        <v>0</v>
      </c>
      <c r="F115" s="57">
        <v>0</v>
      </c>
      <c r="G115" s="57">
        <v>-52.74</v>
      </c>
      <c r="H115">
        <f>_xlfn.XLOOKUP(A115,indice!A:A,indice!C:C)</f>
        <v>10</v>
      </c>
    </row>
    <row r="116" spans="1:8" x14ac:dyDescent="0.25">
      <c r="A116" t="s">
        <v>244</v>
      </c>
      <c r="B116" t="s">
        <v>201</v>
      </c>
      <c r="C116" s="57">
        <v>1662.23</v>
      </c>
      <c r="D116" s="57">
        <v>0</v>
      </c>
      <c r="E116" s="57">
        <v>0</v>
      </c>
      <c r="F116" s="57">
        <v>0</v>
      </c>
      <c r="G116" s="57">
        <v>1662.23</v>
      </c>
      <c r="H116">
        <f>_xlfn.XLOOKUP(A116,indice!A:A,indice!C:C)</f>
        <v>10</v>
      </c>
    </row>
    <row r="117" spans="1:8" x14ac:dyDescent="0.25">
      <c r="A117" t="s">
        <v>246</v>
      </c>
      <c r="B117" t="s">
        <v>247</v>
      </c>
      <c r="C117" s="57">
        <v>1365.64</v>
      </c>
      <c r="D117" s="57">
        <v>0</v>
      </c>
      <c r="E117" s="57">
        <v>0</v>
      </c>
      <c r="F117" s="57">
        <v>0</v>
      </c>
      <c r="G117" s="57">
        <v>1365.64</v>
      </c>
      <c r="H117">
        <f>_xlfn.XLOOKUP(A117,indice!A:A,indice!C:C)</f>
        <v>10</v>
      </c>
    </row>
    <row r="118" spans="1:8" x14ac:dyDescent="0.25">
      <c r="A118" t="s">
        <v>249</v>
      </c>
      <c r="B118" t="s">
        <v>211</v>
      </c>
      <c r="C118" s="57">
        <v>1137.1400000000001</v>
      </c>
      <c r="D118" s="57">
        <v>0</v>
      </c>
      <c r="E118" s="57">
        <v>0</v>
      </c>
      <c r="F118" s="57">
        <v>0</v>
      </c>
      <c r="G118" s="57">
        <v>1137.1400000000001</v>
      </c>
      <c r="H118">
        <f>_xlfn.XLOOKUP(A118,indice!A:A,indice!C:C)</f>
        <v>10</v>
      </c>
    </row>
    <row r="119" spans="1:8" x14ac:dyDescent="0.25">
      <c r="A119" t="s">
        <v>250</v>
      </c>
      <c r="B119" t="s">
        <v>213</v>
      </c>
      <c r="C119" s="57">
        <v>1565.27</v>
      </c>
      <c r="D119" s="57">
        <v>0</v>
      </c>
      <c r="E119" s="57">
        <v>0</v>
      </c>
      <c r="F119" s="57">
        <v>0</v>
      </c>
      <c r="G119" s="57">
        <v>1565.27</v>
      </c>
      <c r="H119">
        <f>_xlfn.XLOOKUP(A119,indice!A:A,indice!C:C)</f>
        <v>10</v>
      </c>
    </row>
    <row r="120" spans="1:8" x14ac:dyDescent="0.25">
      <c r="A120" t="s">
        <v>251</v>
      </c>
      <c r="B120" t="s">
        <v>252</v>
      </c>
      <c r="C120" s="57">
        <v>510041.52</v>
      </c>
      <c r="D120" s="57">
        <v>0</v>
      </c>
      <c r="E120" s="57">
        <v>0</v>
      </c>
      <c r="F120" s="57">
        <v>0</v>
      </c>
      <c r="G120" s="57">
        <v>510041.52</v>
      </c>
      <c r="H120">
        <f>_xlfn.XLOOKUP(A120,indice!A:A,indice!C:C)</f>
        <v>10</v>
      </c>
    </row>
    <row r="121" spans="1:8" x14ac:dyDescent="0.25">
      <c r="A121" t="s">
        <v>253</v>
      </c>
      <c r="B121" t="s">
        <v>217</v>
      </c>
      <c r="C121" s="57">
        <v>1938.38</v>
      </c>
      <c r="D121" s="57">
        <v>0</v>
      </c>
      <c r="E121" s="57">
        <v>0</v>
      </c>
      <c r="F121" s="57">
        <v>0</v>
      </c>
      <c r="G121" s="57">
        <v>1938.38</v>
      </c>
      <c r="H121">
        <f>_xlfn.XLOOKUP(A121,indice!A:A,indice!C:C)</f>
        <v>10</v>
      </c>
    </row>
    <row r="122" spans="1:8" x14ac:dyDescent="0.25">
      <c r="A122" t="s">
        <v>254</v>
      </c>
      <c r="B122" t="s">
        <v>255</v>
      </c>
      <c r="C122" s="57">
        <v>165635.67000000001</v>
      </c>
      <c r="D122" s="57">
        <v>0</v>
      </c>
      <c r="E122" s="57">
        <v>0</v>
      </c>
      <c r="F122" s="57">
        <v>0</v>
      </c>
      <c r="G122" s="57">
        <v>165635.67000000001</v>
      </c>
      <c r="H122">
        <f>_xlfn.XLOOKUP(A122,indice!A:A,indice!C:C)</f>
        <v>10</v>
      </c>
    </row>
    <row r="123" spans="1:8" x14ac:dyDescent="0.25">
      <c r="A123" t="s">
        <v>258</v>
      </c>
      <c r="B123" t="s">
        <v>259</v>
      </c>
      <c r="C123" s="57">
        <v>1230560.1499999999</v>
      </c>
      <c r="D123" s="57">
        <v>0</v>
      </c>
      <c r="E123" s="57">
        <v>0</v>
      </c>
      <c r="F123" s="57">
        <v>0</v>
      </c>
      <c r="G123" s="57">
        <v>1230560.1499999999</v>
      </c>
      <c r="H123">
        <f>_xlfn.XLOOKUP(A123,indice!A:A,indice!C:C)</f>
        <v>10</v>
      </c>
    </row>
    <row r="124" spans="1:8" x14ac:dyDescent="0.25">
      <c r="A124" t="s">
        <v>446</v>
      </c>
      <c r="B124" t="s">
        <v>447</v>
      </c>
      <c r="C124" s="57">
        <v>12078.18</v>
      </c>
      <c r="D124" s="57">
        <v>0</v>
      </c>
      <c r="E124" s="57">
        <v>0</v>
      </c>
      <c r="F124" s="57">
        <v>0</v>
      </c>
      <c r="G124" s="57">
        <v>12078.18</v>
      </c>
      <c r="H124">
        <f>_xlfn.XLOOKUP(A124,indice!A:A,indice!C:C)</f>
        <v>10</v>
      </c>
    </row>
    <row r="125" spans="1:8" x14ac:dyDescent="0.25">
      <c r="A125" t="s">
        <v>260</v>
      </c>
      <c r="B125" t="s">
        <v>261</v>
      </c>
      <c r="C125" s="57">
        <v>6189335.3600000003</v>
      </c>
      <c r="D125" s="57">
        <v>1702492.42</v>
      </c>
      <c r="E125" s="57">
        <v>35056.15</v>
      </c>
      <c r="F125" s="57">
        <v>1667436.27</v>
      </c>
      <c r="G125" s="57">
        <v>7856771.6299999999</v>
      </c>
      <c r="H125" t="str">
        <f>_xlfn.XLOOKUP(A125,indice!A:A,indice!C:C)</f>
        <v>S</v>
      </c>
    </row>
    <row r="126" spans="1:8" x14ac:dyDescent="0.25">
      <c r="A126" t="s">
        <v>262</v>
      </c>
      <c r="B126" t="s">
        <v>133</v>
      </c>
      <c r="C126" s="57">
        <v>1417589.96</v>
      </c>
      <c r="D126" s="57">
        <v>440681.78</v>
      </c>
      <c r="E126" s="57">
        <v>142.19999999999999</v>
      </c>
      <c r="F126" s="57">
        <v>440539.58</v>
      </c>
      <c r="G126" s="57">
        <v>1858129.54</v>
      </c>
      <c r="H126">
        <f>_xlfn.XLOOKUP(A126,indice!A:A,indice!C:C)</f>
        <v>11</v>
      </c>
    </row>
    <row r="127" spans="1:8" x14ac:dyDescent="0.25">
      <c r="A127" t="s">
        <v>263</v>
      </c>
      <c r="B127" t="s">
        <v>135</v>
      </c>
      <c r="C127" s="57">
        <v>157107.51</v>
      </c>
      <c r="D127" s="57">
        <v>49645.42</v>
      </c>
      <c r="E127" s="57">
        <v>0</v>
      </c>
      <c r="F127" s="57">
        <v>49645.42</v>
      </c>
      <c r="G127" s="57">
        <v>206752.93</v>
      </c>
      <c r="H127">
        <f>_xlfn.XLOOKUP(A127,indice!A:A,indice!C:C)</f>
        <v>11</v>
      </c>
    </row>
    <row r="128" spans="1:8" x14ac:dyDescent="0.25">
      <c r="A128" t="s">
        <v>264</v>
      </c>
      <c r="B128" t="s">
        <v>137</v>
      </c>
      <c r="C128" s="57">
        <v>211406.64</v>
      </c>
      <c r="D128" s="57">
        <v>65928.92</v>
      </c>
      <c r="E128" s="57">
        <v>1630.74</v>
      </c>
      <c r="F128" s="57">
        <v>64298.18</v>
      </c>
      <c r="G128" s="57">
        <v>275704.82</v>
      </c>
      <c r="H128">
        <f>_xlfn.XLOOKUP(A128,indice!A:A,indice!C:C)</f>
        <v>11</v>
      </c>
    </row>
    <row r="129" spans="1:8" x14ac:dyDescent="0.25">
      <c r="A129" t="s">
        <v>265</v>
      </c>
      <c r="B129" t="s">
        <v>266</v>
      </c>
      <c r="C129" s="57">
        <v>178393.56</v>
      </c>
      <c r="D129" s="57">
        <v>59464.52</v>
      </c>
      <c r="E129" s="57">
        <v>0</v>
      </c>
      <c r="F129" s="57">
        <v>59464.52</v>
      </c>
      <c r="G129" s="57">
        <v>237858.08</v>
      </c>
      <c r="H129">
        <f>_xlfn.XLOOKUP(A129,indice!A:A,indice!C:C)</f>
        <v>11</v>
      </c>
    </row>
    <row r="130" spans="1:8" x14ac:dyDescent="0.25">
      <c r="A130" t="s">
        <v>267</v>
      </c>
      <c r="B130" t="s">
        <v>63</v>
      </c>
      <c r="C130" s="57">
        <v>54270.77</v>
      </c>
      <c r="D130" s="57">
        <v>18490.3</v>
      </c>
      <c r="E130" s="57">
        <v>94.58</v>
      </c>
      <c r="F130" s="57">
        <v>18395.72</v>
      </c>
      <c r="G130" s="57">
        <v>72666.490000000005</v>
      </c>
      <c r="H130">
        <f>_xlfn.XLOOKUP(A130,indice!A:A,indice!C:C)</f>
        <v>11</v>
      </c>
    </row>
    <row r="131" spans="1:8" x14ac:dyDescent="0.25">
      <c r="A131" t="s">
        <v>268</v>
      </c>
      <c r="B131" t="s">
        <v>64</v>
      </c>
      <c r="C131" s="57">
        <v>153520.75</v>
      </c>
      <c r="D131" s="57">
        <v>47257.49</v>
      </c>
      <c r="E131" s="57">
        <v>130.46</v>
      </c>
      <c r="F131" s="57">
        <v>47127.03</v>
      </c>
      <c r="G131" s="57">
        <v>200647.78</v>
      </c>
      <c r="H131">
        <f>_xlfn.XLOOKUP(A131,indice!A:A,indice!C:C)</f>
        <v>11</v>
      </c>
    </row>
    <row r="132" spans="1:8" x14ac:dyDescent="0.25">
      <c r="A132" t="s">
        <v>269</v>
      </c>
      <c r="B132" t="s">
        <v>270</v>
      </c>
      <c r="C132" s="57">
        <v>15000</v>
      </c>
      <c r="D132" s="57">
        <v>0</v>
      </c>
      <c r="E132" s="57">
        <v>0</v>
      </c>
      <c r="F132" s="57">
        <v>0</v>
      </c>
      <c r="G132" s="57">
        <v>15000</v>
      </c>
      <c r="H132">
        <f>_xlfn.XLOOKUP(A132,indice!A:A,indice!C:C)</f>
        <v>11</v>
      </c>
    </row>
    <row r="133" spans="1:8" x14ac:dyDescent="0.25">
      <c r="A133" t="s">
        <v>271</v>
      </c>
      <c r="B133" t="s">
        <v>141</v>
      </c>
      <c r="C133" s="57">
        <v>71697.53</v>
      </c>
      <c r="D133" s="57">
        <v>12718.31</v>
      </c>
      <c r="E133" s="57">
        <v>0</v>
      </c>
      <c r="F133" s="57">
        <v>12718.31</v>
      </c>
      <c r="G133" s="57">
        <v>84415.84</v>
      </c>
      <c r="H133">
        <f>_xlfn.XLOOKUP(A133,indice!A:A,indice!C:C)</f>
        <v>11</v>
      </c>
    </row>
    <row r="134" spans="1:8" x14ac:dyDescent="0.25">
      <c r="A134" t="s">
        <v>272</v>
      </c>
      <c r="B134" t="s">
        <v>273</v>
      </c>
      <c r="C134" s="57">
        <v>14717.36</v>
      </c>
      <c r="D134" s="57">
        <v>11809.86</v>
      </c>
      <c r="E134" s="57">
        <v>0</v>
      </c>
      <c r="F134" s="57">
        <v>11809.86</v>
      </c>
      <c r="G134" s="57">
        <v>26527.22</v>
      </c>
      <c r="H134">
        <f>_xlfn.XLOOKUP(A134,indice!A:A,indice!C:C)</f>
        <v>11</v>
      </c>
    </row>
    <row r="135" spans="1:8" x14ac:dyDescent="0.25">
      <c r="A135" t="s">
        <v>274</v>
      </c>
      <c r="B135" t="s">
        <v>275</v>
      </c>
      <c r="C135" s="57">
        <v>3500</v>
      </c>
      <c r="D135" s="57">
        <v>0</v>
      </c>
      <c r="E135" s="57">
        <v>0</v>
      </c>
      <c r="F135" s="57">
        <v>0</v>
      </c>
      <c r="G135" s="57">
        <v>3500</v>
      </c>
      <c r="H135">
        <f>_xlfn.XLOOKUP(A135,indice!A:A,indice!C:C)</f>
        <v>11</v>
      </c>
    </row>
    <row r="136" spans="1:8" x14ac:dyDescent="0.25">
      <c r="A136" t="s">
        <v>276</v>
      </c>
      <c r="B136" t="s">
        <v>277</v>
      </c>
      <c r="C136" s="57">
        <v>388.54</v>
      </c>
      <c r="D136" s="57">
        <v>0</v>
      </c>
      <c r="E136" s="57">
        <v>0</v>
      </c>
      <c r="F136" s="57">
        <v>0</v>
      </c>
      <c r="G136" s="57">
        <v>388.54</v>
      </c>
      <c r="H136">
        <f>_xlfn.XLOOKUP(A136,indice!A:A,indice!C:C)</f>
        <v>11</v>
      </c>
    </row>
    <row r="137" spans="1:8" x14ac:dyDescent="0.25">
      <c r="A137" t="s">
        <v>278</v>
      </c>
      <c r="B137" t="s">
        <v>143</v>
      </c>
      <c r="C137" s="57">
        <v>425542.08</v>
      </c>
      <c r="D137" s="57">
        <v>46667.14</v>
      </c>
      <c r="E137" s="57">
        <v>0</v>
      </c>
      <c r="F137" s="57">
        <v>46667.14</v>
      </c>
      <c r="G137" s="57">
        <v>472209.22</v>
      </c>
      <c r="H137">
        <f>_xlfn.XLOOKUP(A137,indice!A:A,indice!C:C)</f>
        <v>11</v>
      </c>
    </row>
    <row r="138" spans="1:8" x14ac:dyDescent="0.25">
      <c r="A138" t="s">
        <v>279</v>
      </c>
      <c r="B138" t="s">
        <v>145</v>
      </c>
      <c r="C138" s="57">
        <v>1829</v>
      </c>
      <c r="D138" s="57">
        <v>299.60000000000002</v>
      </c>
      <c r="E138" s="57">
        <v>0</v>
      </c>
      <c r="F138" s="57">
        <v>299.60000000000002</v>
      </c>
      <c r="G138" s="57">
        <v>2128.6</v>
      </c>
      <c r="H138">
        <f>_xlfn.XLOOKUP(A138,indice!A:A,indice!C:C)</f>
        <v>11</v>
      </c>
    </row>
    <row r="139" spans="1:8" x14ac:dyDescent="0.25">
      <c r="A139" t="s">
        <v>280</v>
      </c>
      <c r="B139" t="s">
        <v>147</v>
      </c>
      <c r="C139" s="57">
        <v>2314</v>
      </c>
      <c r="D139" s="57">
        <v>5000</v>
      </c>
      <c r="E139" s="57">
        <v>0</v>
      </c>
      <c r="F139" s="57">
        <v>5000</v>
      </c>
      <c r="G139" s="57">
        <v>7314</v>
      </c>
      <c r="H139">
        <f>_xlfn.XLOOKUP(A139,indice!A:A,indice!C:C)</f>
        <v>11</v>
      </c>
    </row>
    <row r="140" spans="1:8" x14ac:dyDescent="0.25">
      <c r="A140" t="s">
        <v>281</v>
      </c>
      <c r="B140" t="s">
        <v>282</v>
      </c>
      <c r="C140" s="57">
        <v>3067.36</v>
      </c>
      <c r="D140" s="57">
        <v>9514.6299999999992</v>
      </c>
      <c r="E140" s="57">
        <v>0</v>
      </c>
      <c r="F140" s="57">
        <v>9514.6299999999992</v>
      </c>
      <c r="G140" s="57">
        <v>12581.99</v>
      </c>
      <c r="H140">
        <f>_xlfn.XLOOKUP(A140,indice!A:A,indice!C:C)</f>
        <v>11</v>
      </c>
    </row>
    <row r="141" spans="1:8" x14ac:dyDescent="0.25">
      <c r="A141" t="s">
        <v>283</v>
      </c>
      <c r="B141" t="s">
        <v>151</v>
      </c>
      <c r="C141" s="57">
        <v>264.95999999999998</v>
      </c>
      <c r="D141" s="57">
        <v>28</v>
      </c>
      <c r="E141" s="57">
        <v>0</v>
      </c>
      <c r="F141" s="57">
        <v>28</v>
      </c>
      <c r="G141" s="57">
        <v>292.95999999999998</v>
      </c>
      <c r="H141">
        <f>_xlfn.XLOOKUP(A141,indice!A:A,indice!C:C)</f>
        <v>11</v>
      </c>
    </row>
    <row r="142" spans="1:8" x14ac:dyDescent="0.25">
      <c r="A142" t="s">
        <v>285</v>
      </c>
      <c r="B142" t="s">
        <v>155</v>
      </c>
      <c r="C142" s="57">
        <v>1643877.14</v>
      </c>
      <c r="D142" s="57">
        <v>562591.37</v>
      </c>
      <c r="E142" s="57">
        <v>914.4</v>
      </c>
      <c r="F142" s="57">
        <v>561676.97</v>
      </c>
      <c r="G142" s="57">
        <v>2205554.11</v>
      </c>
      <c r="H142">
        <f>_xlfn.XLOOKUP(A142,indice!A:A,indice!C:C)</f>
        <v>11</v>
      </c>
    </row>
    <row r="143" spans="1:8" x14ac:dyDescent="0.25">
      <c r="A143" t="s">
        <v>286</v>
      </c>
      <c r="B143" t="s">
        <v>159</v>
      </c>
      <c r="C143" s="57">
        <v>1224</v>
      </c>
      <c r="D143" s="57">
        <v>0</v>
      </c>
      <c r="E143" s="57">
        <v>0</v>
      </c>
      <c r="F143" s="57">
        <v>0</v>
      </c>
      <c r="G143" s="57">
        <v>1224</v>
      </c>
      <c r="H143">
        <f>_xlfn.XLOOKUP(A143,indice!A:A,indice!C:C)</f>
        <v>11</v>
      </c>
    </row>
    <row r="144" spans="1:8" x14ac:dyDescent="0.25">
      <c r="A144" t="s">
        <v>287</v>
      </c>
      <c r="B144" t="s">
        <v>288</v>
      </c>
      <c r="C144" s="57">
        <v>8591.66</v>
      </c>
      <c r="D144" s="57">
        <v>2863.88</v>
      </c>
      <c r="E144" s="57">
        <v>0</v>
      </c>
      <c r="F144" s="57">
        <v>2863.88</v>
      </c>
      <c r="G144" s="57">
        <v>11455.54</v>
      </c>
      <c r="H144">
        <f>_xlfn.XLOOKUP(A144,indice!A:A,indice!C:C)</f>
        <v>11</v>
      </c>
    </row>
    <row r="145" spans="1:8" x14ac:dyDescent="0.25">
      <c r="A145" t="s">
        <v>289</v>
      </c>
      <c r="B145" t="s">
        <v>161</v>
      </c>
      <c r="C145" s="57">
        <v>20657.3</v>
      </c>
      <c r="D145" s="57">
        <v>0</v>
      </c>
      <c r="E145" s="57">
        <v>0</v>
      </c>
      <c r="F145" s="57">
        <v>0</v>
      </c>
      <c r="G145" s="57">
        <v>20657.3</v>
      </c>
      <c r="H145">
        <f>_xlfn.XLOOKUP(A145,indice!A:A,indice!C:C)</f>
        <v>11</v>
      </c>
    </row>
    <row r="146" spans="1:8" x14ac:dyDescent="0.25">
      <c r="A146" t="s">
        <v>290</v>
      </c>
      <c r="B146" t="s">
        <v>163</v>
      </c>
      <c r="C146" s="57">
        <v>8861.86</v>
      </c>
      <c r="D146" s="57">
        <v>3374.56</v>
      </c>
      <c r="E146" s="57">
        <v>312.14999999999998</v>
      </c>
      <c r="F146" s="57">
        <v>3062.41</v>
      </c>
      <c r="G146" s="57">
        <v>11924.27</v>
      </c>
      <c r="H146">
        <f>_xlfn.XLOOKUP(A146,indice!A:A,indice!C:C)</f>
        <v>11</v>
      </c>
    </row>
    <row r="147" spans="1:8" x14ac:dyDescent="0.25">
      <c r="A147" t="s">
        <v>291</v>
      </c>
      <c r="B147" t="s">
        <v>165</v>
      </c>
      <c r="C147" s="57">
        <v>6806.25</v>
      </c>
      <c r="D147" s="57">
        <v>0</v>
      </c>
      <c r="E147" s="57">
        <v>0</v>
      </c>
      <c r="F147" s="57">
        <v>0</v>
      </c>
      <c r="G147" s="57">
        <v>6806.25</v>
      </c>
      <c r="H147">
        <f>_xlfn.XLOOKUP(A147,indice!A:A,indice!C:C)</f>
        <v>11</v>
      </c>
    </row>
    <row r="148" spans="1:8" x14ac:dyDescent="0.25">
      <c r="A148" t="s">
        <v>292</v>
      </c>
      <c r="B148" t="s">
        <v>167</v>
      </c>
      <c r="C148" s="57">
        <v>538.94000000000005</v>
      </c>
      <c r="D148" s="57">
        <v>184.84</v>
      </c>
      <c r="E148" s="57">
        <v>0</v>
      </c>
      <c r="F148" s="57">
        <v>184.84</v>
      </c>
      <c r="G148" s="57">
        <v>723.78</v>
      </c>
      <c r="H148">
        <f>_xlfn.XLOOKUP(A148,indice!A:A,indice!C:C)</f>
        <v>11</v>
      </c>
    </row>
    <row r="149" spans="1:8" x14ac:dyDescent="0.25">
      <c r="A149" t="s">
        <v>293</v>
      </c>
      <c r="B149" t="s">
        <v>169</v>
      </c>
      <c r="C149" s="57">
        <v>42389.23</v>
      </c>
      <c r="D149" s="57">
        <v>8737.82</v>
      </c>
      <c r="E149" s="57">
        <v>0</v>
      </c>
      <c r="F149" s="57">
        <v>8737.82</v>
      </c>
      <c r="G149" s="57">
        <v>51127.05</v>
      </c>
      <c r="H149">
        <f>_xlfn.XLOOKUP(A149,indice!A:A,indice!C:C)</f>
        <v>11</v>
      </c>
    </row>
    <row r="150" spans="1:8" x14ac:dyDescent="0.25">
      <c r="A150" t="s">
        <v>294</v>
      </c>
      <c r="B150" t="s">
        <v>295</v>
      </c>
      <c r="C150" s="57">
        <v>764.63</v>
      </c>
      <c r="D150" s="57">
        <v>512.39</v>
      </c>
      <c r="E150" s="57">
        <v>0</v>
      </c>
      <c r="F150" s="57">
        <v>512.39</v>
      </c>
      <c r="G150" s="57">
        <v>1277.02</v>
      </c>
      <c r="H150">
        <f>_xlfn.XLOOKUP(A150,indice!A:A,indice!C:C)</f>
        <v>11</v>
      </c>
    </row>
    <row r="151" spans="1:8" x14ac:dyDescent="0.25">
      <c r="A151" t="s">
        <v>296</v>
      </c>
      <c r="B151" t="s">
        <v>297</v>
      </c>
      <c r="C151" s="57">
        <v>33150.76</v>
      </c>
      <c r="D151" s="57">
        <v>5452.82</v>
      </c>
      <c r="E151" s="57">
        <v>0</v>
      </c>
      <c r="F151" s="57">
        <v>5452.82</v>
      </c>
      <c r="G151" s="57">
        <v>38603.58</v>
      </c>
      <c r="H151">
        <f>_xlfn.XLOOKUP(A151,indice!A:A,indice!C:C)</f>
        <v>11</v>
      </c>
    </row>
    <row r="152" spans="1:8" x14ac:dyDescent="0.25">
      <c r="A152" t="s">
        <v>298</v>
      </c>
      <c r="B152" t="s">
        <v>171</v>
      </c>
      <c r="C152" s="57">
        <v>402.72</v>
      </c>
      <c r="D152" s="57">
        <v>321.64</v>
      </c>
      <c r="E152" s="57">
        <v>0</v>
      </c>
      <c r="F152" s="57">
        <v>321.64</v>
      </c>
      <c r="G152" s="57">
        <v>724.36</v>
      </c>
      <c r="H152">
        <f>_xlfn.XLOOKUP(A152,indice!A:A,indice!C:C)</f>
        <v>11</v>
      </c>
    </row>
    <row r="153" spans="1:8" x14ac:dyDescent="0.25">
      <c r="A153" t="s">
        <v>299</v>
      </c>
      <c r="B153" t="s">
        <v>300</v>
      </c>
      <c r="C153" s="57">
        <v>210616.18</v>
      </c>
      <c r="D153" s="57">
        <v>247.5</v>
      </c>
      <c r="E153" s="57">
        <v>0</v>
      </c>
      <c r="F153" s="57">
        <v>247.5</v>
      </c>
      <c r="G153" s="57">
        <v>210863.68</v>
      </c>
      <c r="H153">
        <f>_xlfn.XLOOKUP(A153,indice!A:A,indice!C:C)</f>
        <v>11</v>
      </c>
    </row>
    <row r="154" spans="1:8" x14ac:dyDescent="0.25">
      <c r="A154" t="s">
        <v>301</v>
      </c>
      <c r="B154" t="s">
        <v>302</v>
      </c>
      <c r="C154" s="57">
        <v>5287.65</v>
      </c>
      <c r="D154" s="57">
        <v>0</v>
      </c>
      <c r="E154" s="57">
        <v>0</v>
      </c>
      <c r="F154" s="57">
        <v>0</v>
      </c>
      <c r="G154" s="57">
        <v>5287.65</v>
      </c>
      <c r="H154">
        <f>_xlfn.XLOOKUP(A154,indice!A:A,indice!C:C)</f>
        <v>11</v>
      </c>
    </row>
    <row r="155" spans="1:8" x14ac:dyDescent="0.25">
      <c r="A155" t="s">
        <v>303</v>
      </c>
      <c r="B155" t="s">
        <v>173</v>
      </c>
      <c r="C155" s="57">
        <v>18229.18</v>
      </c>
      <c r="D155" s="57">
        <v>4138.33</v>
      </c>
      <c r="E155" s="57">
        <v>0</v>
      </c>
      <c r="F155" s="57">
        <v>4138.33</v>
      </c>
      <c r="G155" s="57">
        <v>22367.51</v>
      </c>
      <c r="H155">
        <f>_xlfn.XLOOKUP(A155,indice!A:A,indice!C:C)</f>
        <v>11</v>
      </c>
    </row>
    <row r="156" spans="1:8" x14ac:dyDescent="0.25">
      <c r="A156" t="s">
        <v>304</v>
      </c>
      <c r="B156" t="s">
        <v>175</v>
      </c>
      <c r="C156" s="57">
        <v>144984.1</v>
      </c>
      <c r="D156" s="57">
        <v>21684.17</v>
      </c>
      <c r="E156" s="57">
        <v>0</v>
      </c>
      <c r="F156" s="57">
        <v>21684.17</v>
      </c>
      <c r="G156" s="57">
        <v>166668.26999999999</v>
      </c>
      <c r="H156">
        <f>_xlfn.XLOOKUP(A156,indice!A:A,indice!C:C)</f>
        <v>11</v>
      </c>
    </row>
    <row r="157" spans="1:8" x14ac:dyDescent="0.25">
      <c r="A157" t="s">
        <v>305</v>
      </c>
      <c r="B157" t="s">
        <v>306</v>
      </c>
      <c r="C157" s="57">
        <v>28668.7</v>
      </c>
      <c r="D157" s="57">
        <v>29202.15</v>
      </c>
      <c r="E157" s="57">
        <v>0</v>
      </c>
      <c r="F157" s="57">
        <v>29202.15</v>
      </c>
      <c r="G157" s="57">
        <v>57870.85</v>
      </c>
      <c r="H157">
        <f>_xlfn.XLOOKUP(A157,indice!A:A,indice!C:C)</f>
        <v>11</v>
      </c>
    </row>
    <row r="158" spans="1:8" x14ac:dyDescent="0.25">
      <c r="A158" t="s">
        <v>307</v>
      </c>
      <c r="B158" t="s">
        <v>238</v>
      </c>
      <c r="C158" s="57">
        <v>969.4</v>
      </c>
      <c r="D158" s="57">
        <v>0</v>
      </c>
      <c r="E158" s="57">
        <v>0</v>
      </c>
      <c r="F158" s="57">
        <v>0</v>
      </c>
      <c r="G158" s="57">
        <v>969.4</v>
      </c>
      <c r="H158">
        <f>_xlfn.XLOOKUP(A158,indice!A:A,indice!C:C)</f>
        <v>11</v>
      </c>
    </row>
    <row r="159" spans="1:8" x14ac:dyDescent="0.25">
      <c r="A159" t="s">
        <v>308</v>
      </c>
      <c r="B159" t="s">
        <v>187</v>
      </c>
      <c r="C159" s="57">
        <v>21638.19</v>
      </c>
      <c r="D159" s="57">
        <v>9192.99</v>
      </c>
      <c r="E159" s="57">
        <v>0</v>
      </c>
      <c r="F159" s="57">
        <v>9192.99</v>
      </c>
      <c r="G159" s="57">
        <v>30831.18</v>
      </c>
      <c r="H159">
        <f>_xlfn.XLOOKUP(A159,indice!A:A,indice!C:C)</f>
        <v>11</v>
      </c>
    </row>
    <row r="160" spans="1:8" x14ac:dyDescent="0.25">
      <c r="A160" t="s">
        <v>309</v>
      </c>
      <c r="B160" t="s">
        <v>189</v>
      </c>
      <c r="C160" s="57">
        <v>670.7</v>
      </c>
      <c r="D160" s="57">
        <v>361.86</v>
      </c>
      <c r="E160" s="57">
        <v>0</v>
      </c>
      <c r="F160" s="57">
        <v>361.86</v>
      </c>
      <c r="G160" s="57">
        <v>1032.56</v>
      </c>
      <c r="H160">
        <f>_xlfn.XLOOKUP(A160,indice!A:A,indice!C:C)</f>
        <v>11</v>
      </c>
    </row>
    <row r="161" spans="1:8" x14ac:dyDescent="0.25">
      <c r="A161" t="s">
        <v>310</v>
      </c>
      <c r="B161" t="s">
        <v>191</v>
      </c>
      <c r="C161" s="57">
        <v>81159.8</v>
      </c>
      <c r="D161" s="57">
        <v>26964.39</v>
      </c>
      <c r="E161" s="57">
        <v>0</v>
      </c>
      <c r="F161" s="57">
        <v>26964.39</v>
      </c>
      <c r="G161" s="57">
        <v>108124.19</v>
      </c>
      <c r="H161">
        <f>_xlfn.XLOOKUP(A161,indice!A:A,indice!C:C)</f>
        <v>11</v>
      </c>
    </row>
    <row r="162" spans="1:8" x14ac:dyDescent="0.25">
      <c r="A162" t="s">
        <v>313</v>
      </c>
      <c r="B162" t="s">
        <v>195</v>
      </c>
      <c r="C162" s="57">
        <v>866.18</v>
      </c>
      <c r="D162" s="57">
        <v>325.51</v>
      </c>
      <c r="E162" s="57">
        <v>0</v>
      </c>
      <c r="F162" s="57">
        <v>325.51</v>
      </c>
      <c r="G162" s="57">
        <v>1191.69</v>
      </c>
      <c r="H162">
        <f>_xlfn.XLOOKUP(A162,indice!A:A,indice!C:C)</f>
        <v>11</v>
      </c>
    </row>
    <row r="163" spans="1:8" x14ac:dyDescent="0.25">
      <c r="A163" t="s">
        <v>314</v>
      </c>
      <c r="B163" t="s">
        <v>315</v>
      </c>
      <c r="C163" s="57">
        <v>53587.64</v>
      </c>
      <c r="D163" s="57">
        <v>6600</v>
      </c>
      <c r="E163" s="57">
        <v>0</v>
      </c>
      <c r="F163" s="57">
        <v>6600</v>
      </c>
      <c r="G163" s="57">
        <v>60187.64</v>
      </c>
      <c r="H163">
        <f>_xlfn.XLOOKUP(A163,indice!A:A,indice!C:C)</f>
        <v>11</v>
      </c>
    </row>
    <row r="164" spans="1:8" x14ac:dyDescent="0.25">
      <c r="A164" t="s">
        <v>316</v>
      </c>
      <c r="B164" t="s">
        <v>199</v>
      </c>
      <c r="C164" s="57">
        <v>-215778.01</v>
      </c>
      <c r="D164" s="57">
        <v>261.22000000000003</v>
      </c>
      <c r="E164" s="57">
        <v>31831.62</v>
      </c>
      <c r="F164" s="57">
        <v>-31570.400000000001</v>
      </c>
      <c r="G164" s="57">
        <v>-247348.41</v>
      </c>
      <c r="H164">
        <f>_xlfn.XLOOKUP(A164,indice!A:A,indice!C:C)</f>
        <v>11</v>
      </c>
    </row>
    <row r="165" spans="1:8" x14ac:dyDescent="0.25">
      <c r="A165" t="s">
        <v>317</v>
      </c>
      <c r="B165" t="s">
        <v>201</v>
      </c>
      <c r="C165" s="57">
        <v>48013.68</v>
      </c>
      <c r="D165" s="57">
        <v>7795.59</v>
      </c>
      <c r="E165" s="57">
        <v>0</v>
      </c>
      <c r="F165" s="57">
        <v>7795.59</v>
      </c>
      <c r="G165" s="57">
        <v>55809.27</v>
      </c>
      <c r="H165">
        <f>_xlfn.XLOOKUP(A165,indice!A:A,indice!C:C)</f>
        <v>11</v>
      </c>
    </row>
    <row r="166" spans="1:8" x14ac:dyDescent="0.25">
      <c r="A166" t="s">
        <v>318</v>
      </c>
      <c r="B166" t="s">
        <v>203</v>
      </c>
      <c r="C166" s="57">
        <v>89450.41</v>
      </c>
      <c r="D166" s="57">
        <v>27129.9</v>
      </c>
      <c r="E166" s="57">
        <v>0</v>
      </c>
      <c r="F166" s="57">
        <v>27129.9</v>
      </c>
      <c r="G166" s="57">
        <v>116580.31</v>
      </c>
      <c r="H166">
        <f>_xlfn.XLOOKUP(A166,indice!A:A,indice!C:C)</f>
        <v>11</v>
      </c>
    </row>
    <row r="167" spans="1:8" x14ac:dyDescent="0.25">
      <c r="A167" t="s">
        <v>319</v>
      </c>
      <c r="B167" t="s">
        <v>205</v>
      </c>
      <c r="C167" s="57">
        <v>6808.2</v>
      </c>
      <c r="D167" s="57">
        <v>1621</v>
      </c>
      <c r="E167" s="57">
        <v>0</v>
      </c>
      <c r="F167" s="57">
        <v>1621</v>
      </c>
      <c r="G167" s="57">
        <v>8429.2000000000007</v>
      </c>
      <c r="H167">
        <f>_xlfn.XLOOKUP(A167,indice!A:A,indice!C:C)</f>
        <v>11</v>
      </c>
    </row>
    <row r="168" spans="1:8" x14ac:dyDescent="0.25">
      <c r="A168" t="s">
        <v>320</v>
      </c>
      <c r="B168" t="s">
        <v>207</v>
      </c>
      <c r="C168" s="57">
        <v>20639.71</v>
      </c>
      <c r="D168" s="57">
        <v>4160</v>
      </c>
      <c r="E168" s="57">
        <v>0</v>
      </c>
      <c r="F168" s="57">
        <v>4160</v>
      </c>
      <c r="G168" s="57">
        <v>24799.71</v>
      </c>
      <c r="H168">
        <f>_xlfn.XLOOKUP(A168,indice!A:A,indice!C:C)</f>
        <v>11</v>
      </c>
    </row>
    <row r="169" spans="1:8" x14ac:dyDescent="0.25">
      <c r="A169" t="s">
        <v>321</v>
      </c>
      <c r="B169" t="s">
        <v>209</v>
      </c>
      <c r="C169" s="57">
        <v>2150.4499999999998</v>
      </c>
      <c r="D169" s="57">
        <v>0</v>
      </c>
      <c r="E169" s="57">
        <v>0</v>
      </c>
      <c r="F169" s="57">
        <v>0</v>
      </c>
      <c r="G169" s="57">
        <v>2150.4499999999998</v>
      </c>
      <c r="H169">
        <f>_xlfn.XLOOKUP(A169,indice!A:A,indice!C:C)</f>
        <v>11</v>
      </c>
    </row>
    <row r="170" spans="1:8" x14ac:dyDescent="0.25">
      <c r="A170" t="s">
        <v>322</v>
      </c>
      <c r="B170" t="s">
        <v>211</v>
      </c>
      <c r="C170" s="57">
        <v>17812.8</v>
      </c>
      <c r="D170" s="57">
        <v>4589.3</v>
      </c>
      <c r="E170" s="57">
        <v>0</v>
      </c>
      <c r="F170" s="57">
        <v>4589.3</v>
      </c>
      <c r="G170" s="57">
        <v>22402.1</v>
      </c>
      <c r="H170">
        <f>_xlfn.XLOOKUP(A170,indice!A:A,indice!C:C)</f>
        <v>11</v>
      </c>
    </row>
    <row r="171" spans="1:8" x14ac:dyDescent="0.25">
      <c r="A171" t="s">
        <v>323</v>
      </c>
      <c r="B171" t="s">
        <v>213</v>
      </c>
      <c r="C171" s="57">
        <v>30805.38</v>
      </c>
      <c r="D171" s="57">
        <v>5879.7</v>
      </c>
      <c r="E171" s="57">
        <v>0</v>
      </c>
      <c r="F171" s="57">
        <v>5879.7</v>
      </c>
      <c r="G171" s="57">
        <v>36685.08</v>
      </c>
      <c r="H171">
        <f>_xlfn.XLOOKUP(A171,indice!A:A,indice!C:C)</f>
        <v>11</v>
      </c>
    </row>
    <row r="172" spans="1:8" x14ac:dyDescent="0.25">
      <c r="A172" t="s">
        <v>324</v>
      </c>
      <c r="B172" t="s">
        <v>325</v>
      </c>
      <c r="C172" s="57">
        <v>161871.9</v>
      </c>
      <c r="D172" s="57">
        <v>1700.6</v>
      </c>
      <c r="E172" s="57">
        <v>0</v>
      </c>
      <c r="F172" s="57">
        <v>1700.6</v>
      </c>
      <c r="G172" s="57">
        <v>163572.5</v>
      </c>
      <c r="H172">
        <f>_xlfn.XLOOKUP(A172,indice!A:A,indice!C:C)</f>
        <v>11</v>
      </c>
    </row>
    <row r="173" spans="1:8" x14ac:dyDescent="0.25">
      <c r="A173" t="s">
        <v>326</v>
      </c>
      <c r="B173" t="s">
        <v>327</v>
      </c>
      <c r="C173" s="57">
        <v>9550.7000000000007</v>
      </c>
      <c r="D173" s="57">
        <v>713.19</v>
      </c>
      <c r="E173" s="57">
        <v>0</v>
      </c>
      <c r="F173" s="57">
        <v>713.19</v>
      </c>
      <c r="G173" s="57">
        <v>10263.89</v>
      </c>
      <c r="H173">
        <f>_xlfn.XLOOKUP(A173,indice!A:A,indice!C:C)</f>
        <v>11</v>
      </c>
    </row>
    <row r="174" spans="1:8" x14ac:dyDescent="0.25">
      <c r="A174" t="s">
        <v>328</v>
      </c>
      <c r="B174" t="s">
        <v>329</v>
      </c>
      <c r="C174" s="57">
        <v>126155.22</v>
      </c>
      <c r="D174" s="57">
        <v>25786.799999999999</v>
      </c>
      <c r="E174" s="57">
        <v>0</v>
      </c>
      <c r="F174" s="57">
        <v>25786.799999999999</v>
      </c>
      <c r="G174" s="57">
        <v>151942.01999999999</v>
      </c>
      <c r="H174">
        <f>_xlfn.XLOOKUP(A174,indice!A:A,indice!C:C)</f>
        <v>11</v>
      </c>
    </row>
    <row r="175" spans="1:8" x14ac:dyDescent="0.25">
      <c r="A175" t="s">
        <v>330</v>
      </c>
      <c r="B175" t="s">
        <v>217</v>
      </c>
      <c r="C175" s="57">
        <v>92998.11</v>
      </c>
      <c r="D175" s="57">
        <v>27995.81</v>
      </c>
      <c r="E175" s="57">
        <v>0</v>
      </c>
      <c r="F175" s="57">
        <v>27995.81</v>
      </c>
      <c r="G175" s="57">
        <v>120993.92</v>
      </c>
      <c r="H175">
        <f>_xlfn.XLOOKUP(A175,indice!A:A,indice!C:C)</f>
        <v>11</v>
      </c>
    </row>
    <row r="176" spans="1:8" x14ac:dyDescent="0.25">
      <c r="A176" t="s">
        <v>475</v>
      </c>
      <c r="B176" t="s">
        <v>476</v>
      </c>
      <c r="C176" s="57">
        <v>43319.92</v>
      </c>
      <c r="D176" s="57">
        <v>0</v>
      </c>
      <c r="E176" s="57">
        <v>0</v>
      </c>
      <c r="F176" s="57">
        <v>0</v>
      </c>
      <c r="G176" s="57">
        <v>43319.92</v>
      </c>
      <c r="H176">
        <f>_xlfn.XLOOKUP(A176,indice!A:A,indice!C:C)</f>
        <v>11</v>
      </c>
    </row>
    <row r="177" spans="1:8" x14ac:dyDescent="0.25">
      <c r="A177" t="s">
        <v>331</v>
      </c>
      <c r="B177" t="s">
        <v>332</v>
      </c>
      <c r="C177" s="57">
        <v>437137.82</v>
      </c>
      <c r="D177" s="57">
        <v>144597.12</v>
      </c>
      <c r="E177" s="57">
        <v>0</v>
      </c>
      <c r="F177" s="57">
        <v>144597.12</v>
      </c>
      <c r="G177" s="57">
        <v>581734.93999999994</v>
      </c>
      <c r="H177">
        <f>_xlfn.XLOOKUP(A177,indice!A:A,indice!C:C)</f>
        <v>11</v>
      </c>
    </row>
    <row r="178" spans="1:8" x14ac:dyDescent="0.25">
      <c r="A178" t="s">
        <v>333</v>
      </c>
      <c r="B178" t="s">
        <v>334</v>
      </c>
      <c r="C178" s="57">
        <v>273846.84000000003</v>
      </c>
      <c r="D178" s="57">
        <v>0</v>
      </c>
      <c r="E178" s="57">
        <v>0</v>
      </c>
      <c r="F178" s="57">
        <v>0</v>
      </c>
      <c r="G178" s="57">
        <v>273846.84000000003</v>
      </c>
      <c r="H178">
        <f>_xlfn.XLOOKUP(A178,indice!A:A,indice!C:C)</f>
        <v>11</v>
      </c>
    </row>
    <row r="179" spans="1:8" x14ac:dyDescent="0.25">
      <c r="A179" t="s">
        <v>335</v>
      </c>
      <c r="B179" t="s">
        <v>18</v>
      </c>
      <c r="C179" s="57">
        <v>3352863.13</v>
      </c>
      <c r="D179" s="57">
        <v>1474272.07</v>
      </c>
      <c r="E179" s="57">
        <v>928211.63</v>
      </c>
      <c r="F179" s="57">
        <v>546060.43999999994</v>
      </c>
      <c r="G179" s="57">
        <v>3898923.57</v>
      </c>
      <c r="H179" t="str">
        <f>_xlfn.XLOOKUP(A179,indice!A:A,indice!C:C)</f>
        <v>S</v>
      </c>
    </row>
    <row r="180" spans="1:8" x14ac:dyDescent="0.25">
      <c r="A180" t="s">
        <v>500</v>
      </c>
      <c r="B180" t="s">
        <v>501</v>
      </c>
      <c r="C180" s="57">
        <v>282457.75</v>
      </c>
      <c r="D180" s="57">
        <v>0</v>
      </c>
      <c r="E180" s="57">
        <v>0</v>
      </c>
      <c r="F180" s="57">
        <v>0</v>
      </c>
      <c r="G180" s="57">
        <v>282457.75</v>
      </c>
      <c r="H180">
        <f>_xlfn.XLOOKUP(A180,indice!A:A,indice!C:C)</f>
        <v>14</v>
      </c>
    </row>
    <row r="181" spans="1:8" x14ac:dyDescent="0.25">
      <c r="A181" t="s">
        <v>336</v>
      </c>
      <c r="B181" t="s">
        <v>337</v>
      </c>
      <c r="C181" s="57">
        <v>4577337.5599999996</v>
      </c>
      <c r="D181" s="57">
        <v>1462049.32</v>
      </c>
      <c r="E181" s="57">
        <v>1748.25</v>
      </c>
      <c r="F181" s="57">
        <v>1460301.07</v>
      </c>
      <c r="G181" s="57">
        <v>6037638.6299999999</v>
      </c>
      <c r="H181">
        <f>_xlfn.XLOOKUP(A181,indice!A:A,indice!C:C)</f>
        <v>14</v>
      </c>
    </row>
    <row r="182" spans="1:8" x14ac:dyDescent="0.25">
      <c r="A182" t="s">
        <v>338</v>
      </c>
      <c r="B182" t="s">
        <v>339</v>
      </c>
      <c r="C182" s="57">
        <v>0</v>
      </c>
      <c r="D182" s="57">
        <v>11809</v>
      </c>
      <c r="E182" s="57">
        <v>0</v>
      </c>
      <c r="F182" s="57">
        <v>11809</v>
      </c>
      <c r="G182" s="57">
        <v>11809</v>
      </c>
      <c r="H182">
        <f>_xlfn.XLOOKUP(A182,indice!A:A,indice!C:C)</f>
        <v>14</v>
      </c>
    </row>
    <row r="183" spans="1:8" x14ac:dyDescent="0.25">
      <c r="A183" t="s">
        <v>340</v>
      </c>
      <c r="B183" t="s">
        <v>341</v>
      </c>
      <c r="C183" s="57">
        <v>-0.02</v>
      </c>
      <c r="D183" s="57">
        <v>0</v>
      </c>
      <c r="E183" s="57">
        <v>0.03</v>
      </c>
      <c r="F183" s="57">
        <v>-0.03</v>
      </c>
      <c r="G183" s="57">
        <v>-0.05</v>
      </c>
      <c r="H183">
        <f>_xlfn.XLOOKUP(A183,indice!A:A,indice!C:C)</f>
        <v>14</v>
      </c>
    </row>
    <row r="184" spans="1:8" x14ac:dyDescent="0.25">
      <c r="A184" t="s">
        <v>342</v>
      </c>
      <c r="B184" t="s">
        <v>343</v>
      </c>
      <c r="C184" s="57">
        <v>-209.24</v>
      </c>
      <c r="D184" s="57">
        <v>413.75</v>
      </c>
      <c r="E184" s="57">
        <v>27.93</v>
      </c>
      <c r="F184" s="57">
        <v>385.82</v>
      </c>
      <c r="G184" s="57">
        <v>176.58</v>
      </c>
      <c r="H184">
        <f>_xlfn.XLOOKUP(A184,indice!A:A,indice!C:C)</f>
        <v>14</v>
      </c>
    </row>
    <row r="185" spans="1:8" x14ac:dyDescent="0.25">
      <c r="A185" t="s">
        <v>346</v>
      </c>
      <c r="B185" t="s">
        <v>347</v>
      </c>
      <c r="C185" s="57">
        <v>-17192.93</v>
      </c>
      <c r="D185" s="57">
        <v>0</v>
      </c>
      <c r="E185" s="57">
        <v>5635.42</v>
      </c>
      <c r="F185" s="57">
        <v>-5635.42</v>
      </c>
      <c r="G185" s="57">
        <v>-22828.35</v>
      </c>
      <c r="H185">
        <f>_xlfn.XLOOKUP(A185,indice!A:A,indice!C:C)</f>
        <v>14</v>
      </c>
    </row>
    <row r="186" spans="1:8" x14ac:dyDescent="0.25">
      <c r="A186" t="s">
        <v>469</v>
      </c>
      <c r="B186" t="s">
        <v>470</v>
      </c>
      <c r="C186" s="57">
        <v>-420282.99</v>
      </c>
      <c r="D186" s="57">
        <v>0</v>
      </c>
      <c r="E186" s="57">
        <v>0</v>
      </c>
      <c r="F186" s="57">
        <v>0</v>
      </c>
      <c r="G186" s="57">
        <v>-420282.99</v>
      </c>
      <c r="H186">
        <f>_xlfn.XLOOKUP(A186,indice!A:A,indice!C:C)</f>
        <v>14</v>
      </c>
    </row>
    <row r="187" spans="1:8" x14ac:dyDescent="0.25">
      <c r="A187" t="s">
        <v>511</v>
      </c>
      <c r="B187" t="s">
        <v>512</v>
      </c>
      <c r="C187" s="57">
        <v>-1702347</v>
      </c>
      <c r="D187" s="57">
        <v>0</v>
      </c>
      <c r="E187" s="57">
        <v>920800</v>
      </c>
      <c r="F187" s="57">
        <v>-920800</v>
      </c>
      <c r="G187" s="57">
        <v>-2623147</v>
      </c>
      <c r="H187">
        <f>_xlfn.XLOOKUP(A187,indice!A:A,indice!C:C)</f>
        <v>14</v>
      </c>
    </row>
    <row r="188" spans="1:8" x14ac:dyDescent="0.25">
      <c r="A188" t="s">
        <v>517</v>
      </c>
      <c r="B188" t="s">
        <v>518</v>
      </c>
      <c r="C188" s="57">
        <v>633100</v>
      </c>
      <c r="D188" s="57">
        <v>0</v>
      </c>
      <c r="E188" s="57">
        <v>0</v>
      </c>
      <c r="F188" s="57">
        <v>0</v>
      </c>
      <c r="G188" s="57">
        <v>633100</v>
      </c>
      <c r="H188">
        <f>_xlfn.XLOOKUP(A188,indice!A:A,indice!C:C)</f>
        <v>14</v>
      </c>
    </row>
    <row r="189" spans="1:8" x14ac:dyDescent="0.25">
      <c r="A189" t="s">
        <v>350</v>
      </c>
      <c r="B189" t="s">
        <v>351</v>
      </c>
      <c r="C189" s="57">
        <v>-3913506.48</v>
      </c>
      <c r="D189" s="57">
        <v>56094.17</v>
      </c>
      <c r="E189" s="57">
        <v>554915.89</v>
      </c>
      <c r="F189" s="57">
        <v>-498821.72</v>
      </c>
      <c r="G189" s="57">
        <v>-4412328.2</v>
      </c>
      <c r="H189" t="str">
        <f>_xlfn.XLOOKUP(A189,indice!A:A,indice!C:C)</f>
        <v>S</v>
      </c>
    </row>
    <row r="190" spans="1:8" x14ac:dyDescent="0.25">
      <c r="A190" t="s">
        <v>352</v>
      </c>
      <c r="B190" t="s">
        <v>56</v>
      </c>
      <c r="C190" s="57">
        <v>13.05</v>
      </c>
      <c r="D190" s="57">
        <v>0</v>
      </c>
      <c r="E190" s="57">
        <v>0</v>
      </c>
      <c r="F190" s="57">
        <v>0</v>
      </c>
      <c r="G190" s="57">
        <v>13.05</v>
      </c>
      <c r="H190">
        <f>_xlfn.XLOOKUP(A190,indice!A:A,indice!C:C)</f>
        <v>12</v>
      </c>
    </row>
    <row r="191" spans="1:8" x14ac:dyDescent="0.25">
      <c r="A191" t="s">
        <v>353</v>
      </c>
      <c r="B191" t="s">
        <v>57</v>
      </c>
      <c r="C191" s="57">
        <v>1176.8699999999999</v>
      </c>
      <c r="D191" s="57">
        <v>1569.95</v>
      </c>
      <c r="E191" s="57">
        <v>0</v>
      </c>
      <c r="F191" s="57">
        <v>1569.95</v>
      </c>
      <c r="G191" s="57">
        <v>2746.82</v>
      </c>
      <c r="H191">
        <f>_xlfn.XLOOKUP(A191,indice!A:A,indice!C:C)</f>
        <v>12</v>
      </c>
    </row>
    <row r="192" spans="1:8" x14ac:dyDescent="0.25">
      <c r="A192" t="s">
        <v>354</v>
      </c>
      <c r="B192" t="s">
        <v>58</v>
      </c>
      <c r="C192" s="57">
        <v>5523.6</v>
      </c>
      <c r="D192" s="57">
        <v>7287.98</v>
      </c>
      <c r="E192" s="57">
        <v>0</v>
      </c>
      <c r="F192" s="57">
        <v>7287.98</v>
      </c>
      <c r="G192" s="57">
        <v>12811.58</v>
      </c>
      <c r="H192">
        <f>_xlfn.XLOOKUP(A192,indice!A:A,indice!C:C)</f>
        <v>12</v>
      </c>
    </row>
    <row r="193" spans="1:8" x14ac:dyDescent="0.25">
      <c r="A193" t="s">
        <v>355</v>
      </c>
      <c r="B193" t="s">
        <v>356</v>
      </c>
      <c r="C193" s="57">
        <v>-293834.42</v>
      </c>
      <c r="D193" s="57">
        <v>0</v>
      </c>
      <c r="E193" s="57">
        <v>0</v>
      </c>
      <c r="F193" s="57">
        <v>0</v>
      </c>
      <c r="G193" s="57">
        <v>-293834.42</v>
      </c>
      <c r="H193">
        <f>_xlfn.XLOOKUP(A193,indice!A:A,indice!C:C)</f>
        <v>12</v>
      </c>
    </row>
    <row r="194" spans="1:8" x14ac:dyDescent="0.25">
      <c r="A194" t="s">
        <v>448</v>
      </c>
      <c r="B194" t="s">
        <v>449</v>
      </c>
      <c r="C194" s="57">
        <v>6196.51</v>
      </c>
      <c r="D194" s="57">
        <v>37044.959999999999</v>
      </c>
      <c r="E194" s="57">
        <v>32863.4</v>
      </c>
      <c r="F194" s="57">
        <v>4181.5600000000004</v>
      </c>
      <c r="G194" s="57">
        <v>10378.07</v>
      </c>
      <c r="H194">
        <f>_xlfn.XLOOKUP(A194,indice!A:A,indice!C:C)</f>
        <v>12</v>
      </c>
    </row>
    <row r="195" spans="1:8" x14ac:dyDescent="0.25">
      <c r="A195" t="s">
        <v>357</v>
      </c>
      <c r="B195" t="s">
        <v>358</v>
      </c>
      <c r="C195" s="57">
        <v>-3786885.13</v>
      </c>
      <c r="D195" s="57">
        <v>0</v>
      </c>
      <c r="E195" s="57">
        <v>429124.1</v>
      </c>
      <c r="F195" s="57">
        <v>-429124.1</v>
      </c>
      <c r="G195" s="57">
        <v>-4216009.2300000004</v>
      </c>
      <c r="H195">
        <f>_xlfn.XLOOKUP(A195,indice!A:A,indice!C:C)</f>
        <v>3</v>
      </c>
    </row>
    <row r="196" spans="1:8" x14ac:dyDescent="0.25">
      <c r="A196" t="s">
        <v>359</v>
      </c>
      <c r="B196" t="s">
        <v>360</v>
      </c>
      <c r="C196" s="57">
        <v>1128.81</v>
      </c>
      <c r="D196" s="57">
        <v>10191.280000000001</v>
      </c>
      <c r="E196" s="57">
        <v>0</v>
      </c>
      <c r="F196" s="57">
        <v>10191.280000000001</v>
      </c>
      <c r="G196" s="57">
        <v>11320.09</v>
      </c>
      <c r="H196">
        <f>_xlfn.XLOOKUP(A196,indice!A:A,indice!C:C)</f>
        <v>12</v>
      </c>
    </row>
    <row r="197" spans="1:8" x14ac:dyDescent="0.25">
      <c r="A197" t="s">
        <v>361</v>
      </c>
      <c r="B197" t="s">
        <v>362</v>
      </c>
      <c r="C197" s="57">
        <v>-94603.48</v>
      </c>
      <c r="D197" s="57">
        <v>0</v>
      </c>
      <c r="E197" s="57">
        <v>92928.39</v>
      </c>
      <c r="F197" s="57">
        <v>-92928.39</v>
      </c>
      <c r="G197" s="57">
        <v>-187531.87</v>
      </c>
      <c r="H197">
        <f>_xlfn.XLOOKUP(A197,indice!A:A,indice!C:C)</f>
        <v>12</v>
      </c>
    </row>
    <row r="198" spans="1:8" x14ac:dyDescent="0.25">
      <c r="A198" t="s">
        <v>363</v>
      </c>
      <c r="B198" t="s">
        <v>364</v>
      </c>
      <c r="C198" s="57">
        <v>78748.75</v>
      </c>
      <c r="D198" s="57">
        <v>0</v>
      </c>
      <c r="E198" s="57">
        <v>0</v>
      </c>
      <c r="F198" s="57">
        <v>0</v>
      </c>
      <c r="G198" s="57">
        <v>78748.75</v>
      </c>
      <c r="H198">
        <f>_xlfn.XLOOKUP(A198,indice!A:A,indice!C:C)</f>
        <v>12</v>
      </c>
    </row>
    <row r="199" spans="1:8" x14ac:dyDescent="0.25">
      <c r="A199" t="s">
        <v>481</v>
      </c>
      <c r="B199" t="s">
        <v>482</v>
      </c>
      <c r="C199" s="57">
        <v>169028.96</v>
      </c>
      <c r="D199" s="57">
        <v>0</v>
      </c>
      <c r="E199" s="57">
        <v>0</v>
      </c>
      <c r="F199" s="57">
        <v>0</v>
      </c>
      <c r="G199" s="57">
        <v>169028.96</v>
      </c>
      <c r="H199">
        <f>_xlfn.XLOOKUP(A199,indice!A:A,indice!C:C)</f>
        <v>20</v>
      </c>
    </row>
    <row r="200" spans="1:8" x14ac:dyDescent="0.25">
      <c r="A200" t="s">
        <v>369</v>
      </c>
      <c r="B200" t="s">
        <v>370</v>
      </c>
      <c r="C200" s="57">
        <v>-70000</v>
      </c>
      <c r="D200" s="57">
        <v>0</v>
      </c>
      <c r="E200" s="57">
        <v>0</v>
      </c>
      <c r="F200" s="57">
        <v>0</v>
      </c>
      <c r="G200" s="57">
        <v>-70000</v>
      </c>
      <c r="H200" t="str">
        <f>_xlfn.XLOOKUP(A200,indice!A:A,indice!C:C)</f>
        <v>S</v>
      </c>
    </row>
    <row r="201" spans="1:8" x14ac:dyDescent="0.25">
      <c r="A201" t="s">
        <v>371</v>
      </c>
      <c r="B201" t="s">
        <v>372</v>
      </c>
      <c r="C201" s="57">
        <v>-70000</v>
      </c>
      <c r="D201" s="57">
        <v>0</v>
      </c>
      <c r="E201" s="57">
        <v>0</v>
      </c>
      <c r="F201" s="57">
        <v>0</v>
      </c>
      <c r="G201" s="57">
        <v>-70000</v>
      </c>
      <c r="H201">
        <f>_xlfn.XLOOKUP(A201,indice!A:A,indice!C:C)</f>
        <v>12</v>
      </c>
    </row>
    <row r="202" spans="1:8" x14ac:dyDescent="0.25">
      <c r="D202" s="60">
        <v>101005343.83</v>
      </c>
      <c r="E202" s="60">
        <v>101005343.83</v>
      </c>
    </row>
  </sheetData>
  <autoFilter ref="A1:H199" xr:uid="{C1955832-B42A-4228-A9E5-3BCF3F9D5B31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94EF-66E6-430E-869F-D768A54772BC}">
  <dimension ref="A1:E255"/>
  <sheetViews>
    <sheetView topLeftCell="A184" workbookViewId="0">
      <selection activeCell="C6" sqref="C6:D6"/>
    </sheetView>
  </sheetViews>
  <sheetFormatPr defaultRowHeight="15" x14ac:dyDescent="0.25"/>
  <cols>
    <col min="1" max="1" width="11.7109375" bestFit="1" customWidth="1"/>
    <col min="2" max="2" width="52" bestFit="1" customWidth="1"/>
  </cols>
  <sheetData>
    <row r="1" spans="1:4" x14ac:dyDescent="0.25">
      <c r="A1" s="6" t="s">
        <v>65</v>
      </c>
      <c r="B1" s="5" t="s">
        <v>66</v>
      </c>
      <c r="C1" s="3" t="s">
        <v>373</v>
      </c>
      <c r="D1" s="3" t="s">
        <v>375</v>
      </c>
    </row>
    <row r="2" spans="1:4" x14ac:dyDescent="0.25">
      <c r="A2" s="6" t="s">
        <v>67</v>
      </c>
      <c r="B2" s="5" t="s">
        <v>68</v>
      </c>
      <c r="C2" s="3" t="s">
        <v>373</v>
      </c>
      <c r="D2" s="3" t="s">
        <v>375</v>
      </c>
    </row>
    <row r="3" spans="1:4" x14ac:dyDescent="0.25">
      <c r="A3" s="6" t="s">
        <v>69</v>
      </c>
      <c r="B3" s="5" t="s">
        <v>70</v>
      </c>
      <c r="C3" s="3" t="s">
        <v>373</v>
      </c>
      <c r="D3" s="3" t="s">
        <v>375</v>
      </c>
    </row>
    <row r="4" spans="1:4" x14ac:dyDescent="0.25">
      <c r="A4" s="6" t="s">
        <v>71</v>
      </c>
      <c r="B4" s="5" t="s">
        <v>72</v>
      </c>
      <c r="C4" s="3" t="s">
        <v>373</v>
      </c>
      <c r="D4" s="3" t="s">
        <v>375</v>
      </c>
    </row>
    <row r="5" spans="1:4" x14ac:dyDescent="0.25">
      <c r="A5" s="6" t="s">
        <v>73</v>
      </c>
      <c r="B5" s="5" t="s">
        <v>61</v>
      </c>
      <c r="C5">
        <v>1</v>
      </c>
      <c r="D5" s="4" t="s">
        <v>6</v>
      </c>
    </row>
    <row r="6" spans="1:4" x14ac:dyDescent="0.25">
      <c r="A6" t="s">
        <v>521</v>
      </c>
      <c r="B6" t="s">
        <v>522</v>
      </c>
      <c r="C6">
        <v>1</v>
      </c>
      <c r="D6" s="4" t="s">
        <v>6</v>
      </c>
    </row>
    <row r="7" spans="1:4" x14ac:dyDescent="0.25">
      <c r="A7" s="6" t="s">
        <v>74</v>
      </c>
      <c r="B7" s="5" t="s">
        <v>62</v>
      </c>
      <c r="C7">
        <v>1</v>
      </c>
      <c r="D7" s="4" t="s">
        <v>6</v>
      </c>
    </row>
    <row r="8" spans="1:4" x14ac:dyDescent="0.25">
      <c r="A8" s="6" t="s">
        <v>75</v>
      </c>
      <c r="B8" s="5" t="s">
        <v>60</v>
      </c>
      <c r="C8">
        <v>1</v>
      </c>
      <c r="D8" s="4" t="s">
        <v>6</v>
      </c>
    </row>
    <row r="9" spans="1:4" x14ac:dyDescent="0.25">
      <c r="A9" t="s">
        <v>483</v>
      </c>
      <c r="B9" t="s">
        <v>59</v>
      </c>
      <c r="C9">
        <v>1</v>
      </c>
      <c r="D9" s="4" t="s">
        <v>6</v>
      </c>
    </row>
    <row r="10" spans="1:4" x14ac:dyDescent="0.25">
      <c r="A10" s="6" t="s">
        <v>76</v>
      </c>
      <c r="B10" s="5" t="s">
        <v>77</v>
      </c>
      <c r="C10" s="3" t="s">
        <v>373</v>
      </c>
      <c r="D10" s="3" t="s">
        <v>375</v>
      </c>
    </row>
    <row r="11" spans="1:4" x14ac:dyDescent="0.25">
      <c r="A11" s="6" t="s">
        <v>78</v>
      </c>
      <c r="B11" s="5" t="s">
        <v>59</v>
      </c>
      <c r="C11">
        <v>1</v>
      </c>
      <c r="D11" s="4" t="s">
        <v>6</v>
      </c>
    </row>
    <row r="12" spans="1:4" x14ac:dyDescent="0.25">
      <c r="A12" s="6" t="s">
        <v>79</v>
      </c>
      <c r="B12" s="5" t="s">
        <v>80</v>
      </c>
      <c r="C12" s="3" t="s">
        <v>373</v>
      </c>
      <c r="D12" s="3" t="s">
        <v>375</v>
      </c>
    </row>
    <row r="13" spans="1:4" x14ac:dyDescent="0.25">
      <c r="A13" s="6" t="s">
        <v>81</v>
      </c>
      <c r="B13" s="5" t="s">
        <v>82</v>
      </c>
      <c r="C13">
        <v>1</v>
      </c>
      <c r="D13" s="4" t="s">
        <v>6</v>
      </c>
    </row>
    <row r="14" spans="1:4" x14ac:dyDescent="0.25">
      <c r="A14" s="6" t="s">
        <v>83</v>
      </c>
      <c r="B14" s="5" t="s">
        <v>84</v>
      </c>
      <c r="C14">
        <v>1</v>
      </c>
      <c r="D14" s="4" t="s">
        <v>6</v>
      </c>
    </row>
    <row r="15" spans="1:4" x14ac:dyDescent="0.25">
      <c r="A15" s="6" t="s">
        <v>85</v>
      </c>
      <c r="B15" s="5" t="s">
        <v>86</v>
      </c>
      <c r="C15" s="3" t="s">
        <v>373</v>
      </c>
      <c r="D15" s="3" t="s">
        <v>375</v>
      </c>
    </row>
    <row r="16" spans="1:4" x14ac:dyDescent="0.25">
      <c r="A16" s="6" t="s">
        <v>87</v>
      </c>
      <c r="B16" s="5" t="s">
        <v>88</v>
      </c>
      <c r="C16">
        <v>1</v>
      </c>
      <c r="D16" s="4" t="s">
        <v>6</v>
      </c>
    </row>
    <row r="17" spans="1:4" x14ac:dyDescent="0.25">
      <c r="A17" s="6" t="s">
        <v>89</v>
      </c>
      <c r="B17" s="5" t="s">
        <v>90</v>
      </c>
      <c r="C17" s="3" t="s">
        <v>373</v>
      </c>
      <c r="D17" s="3" t="s">
        <v>375</v>
      </c>
    </row>
    <row r="18" spans="1:4" x14ac:dyDescent="0.25">
      <c r="A18" s="6" t="s">
        <v>91</v>
      </c>
      <c r="B18" s="5" t="s">
        <v>92</v>
      </c>
      <c r="C18">
        <v>1</v>
      </c>
      <c r="D18" s="4" t="s">
        <v>6</v>
      </c>
    </row>
    <row r="19" spans="1:4" x14ac:dyDescent="0.25">
      <c r="A19" s="10" t="s">
        <v>389</v>
      </c>
      <c r="B19" s="9" t="s">
        <v>390</v>
      </c>
      <c r="C19">
        <v>1</v>
      </c>
      <c r="D19" s="4" t="s">
        <v>6</v>
      </c>
    </row>
    <row r="20" spans="1:4" x14ac:dyDescent="0.25">
      <c r="A20" s="42" t="s">
        <v>433</v>
      </c>
      <c r="B20" s="41" t="s">
        <v>434</v>
      </c>
      <c r="C20" s="3" t="s">
        <v>373</v>
      </c>
      <c r="D20" s="3" t="s">
        <v>375</v>
      </c>
    </row>
    <row r="21" spans="1:4" x14ac:dyDescent="0.25">
      <c r="A21" s="42" t="s">
        <v>435</v>
      </c>
      <c r="B21" s="41" t="s">
        <v>436</v>
      </c>
      <c r="C21">
        <v>1</v>
      </c>
      <c r="D21" s="4" t="s">
        <v>6</v>
      </c>
    </row>
    <row r="22" spans="1:4" x14ac:dyDescent="0.25">
      <c r="A22" s="6" t="s">
        <v>93</v>
      </c>
      <c r="B22" s="5" t="s">
        <v>94</v>
      </c>
      <c r="C22" s="3" t="s">
        <v>373</v>
      </c>
      <c r="D22" s="3" t="s">
        <v>375</v>
      </c>
    </row>
    <row r="23" spans="1:4" x14ac:dyDescent="0.25">
      <c r="A23" s="6" t="s">
        <v>95</v>
      </c>
      <c r="B23" s="5" t="s">
        <v>96</v>
      </c>
      <c r="C23" s="3" t="s">
        <v>373</v>
      </c>
      <c r="D23" s="3" t="s">
        <v>375</v>
      </c>
    </row>
    <row r="24" spans="1:4" x14ac:dyDescent="0.25">
      <c r="A24" s="6" t="s">
        <v>97</v>
      </c>
      <c r="B24" s="5" t="s">
        <v>98</v>
      </c>
      <c r="C24" s="3" t="s">
        <v>373</v>
      </c>
      <c r="D24" s="3" t="s">
        <v>375</v>
      </c>
    </row>
    <row r="25" spans="1:4" x14ac:dyDescent="0.25">
      <c r="A25" s="6" t="s">
        <v>99</v>
      </c>
      <c r="B25" s="5" t="s">
        <v>56</v>
      </c>
      <c r="C25">
        <v>3</v>
      </c>
      <c r="D25" s="4" t="s">
        <v>8</v>
      </c>
    </row>
    <row r="26" spans="1:4" x14ac:dyDescent="0.25">
      <c r="A26" s="6" t="s">
        <v>100</v>
      </c>
      <c r="B26" s="5" t="s">
        <v>55</v>
      </c>
      <c r="C26">
        <v>3</v>
      </c>
      <c r="D26" s="4" t="s">
        <v>8</v>
      </c>
    </row>
    <row r="27" spans="1:4" x14ac:dyDescent="0.25">
      <c r="A27" s="6" t="s">
        <v>101</v>
      </c>
      <c r="B27" s="5" t="s">
        <v>102</v>
      </c>
      <c r="C27">
        <v>3</v>
      </c>
      <c r="D27" s="4" t="s">
        <v>8</v>
      </c>
    </row>
    <row r="28" spans="1:4" x14ac:dyDescent="0.25">
      <c r="A28" s="6" t="s">
        <v>103</v>
      </c>
      <c r="B28" s="5" t="s">
        <v>104</v>
      </c>
      <c r="C28">
        <v>3</v>
      </c>
      <c r="D28" s="4" t="s">
        <v>8</v>
      </c>
    </row>
    <row r="29" spans="1:4" x14ac:dyDescent="0.25">
      <c r="A29" s="6" t="s">
        <v>105</v>
      </c>
      <c r="B29" s="5" t="s">
        <v>106</v>
      </c>
      <c r="C29">
        <v>3</v>
      </c>
      <c r="D29" s="4" t="s">
        <v>8</v>
      </c>
    </row>
    <row r="30" spans="1:4" x14ac:dyDescent="0.25">
      <c r="A30" s="6" t="s">
        <v>107</v>
      </c>
      <c r="B30" s="5" t="s">
        <v>108</v>
      </c>
      <c r="C30">
        <v>3</v>
      </c>
      <c r="D30" s="4" t="s">
        <v>8</v>
      </c>
    </row>
    <row r="31" spans="1:4" x14ac:dyDescent="0.25">
      <c r="A31" s="6" t="s">
        <v>109</v>
      </c>
      <c r="B31" s="5" t="s">
        <v>110</v>
      </c>
      <c r="C31" s="3" t="s">
        <v>373</v>
      </c>
      <c r="D31" s="3" t="s">
        <v>375</v>
      </c>
    </row>
    <row r="32" spans="1:4" x14ac:dyDescent="0.25">
      <c r="A32" s="6" t="s">
        <v>111</v>
      </c>
      <c r="B32" s="5" t="s">
        <v>56</v>
      </c>
      <c r="C32">
        <v>3</v>
      </c>
      <c r="D32" s="4" t="s">
        <v>8</v>
      </c>
    </row>
    <row r="33" spans="1:4" x14ac:dyDescent="0.25">
      <c r="A33" s="6" t="s">
        <v>112</v>
      </c>
      <c r="B33" s="5" t="s">
        <v>113</v>
      </c>
      <c r="C33">
        <v>3</v>
      </c>
      <c r="D33" s="4" t="s">
        <v>8</v>
      </c>
    </row>
    <row r="34" spans="1:4" x14ac:dyDescent="0.25">
      <c r="A34" s="6" t="s">
        <v>114</v>
      </c>
      <c r="B34" s="5" t="s">
        <v>115</v>
      </c>
      <c r="C34">
        <v>3</v>
      </c>
      <c r="D34" s="4" t="s">
        <v>8</v>
      </c>
    </row>
    <row r="35" spans="1:4" x14ac:dyDescent="0.25">
      <c r="A35" s="6" t="s">
        <v>116</v>
      </c>
      <c r="B35" s="5" t="s">
        <v>12</v>
      </c>
      <c r="C35" s="3" t="s">
        <v>373</v>
      </c>
      <c r="D35" s="3" t="s">
        <v>375</v>
      </c>
    </row>
    <row r="36" spans="1:4" x14ac:dyDescent="0.25">
      <c r="A36" s="6" t="s">
        <v>117</v>
      </c>
      <c r="B36" s="5" t="s">
        <v>118</v>
      </c>
      <c r="C36" s="3" t="s">
        <v>373</v>
      </c>
      <c r="D36" s="3" t="s">
        <v>375</v>
      </c>
    </row>
    <row r="37" spans="1:4" x14ac:dyDescent="0.25">
      <c r="A37" s="6" t="s">
        <v>119</v>
      </c>
      <c r="B37" s="5" t="s">
        <v>120</v>
      </c>
      <c r="C37">
        <v>6</v>
      </c>
      <c r="D37" s="2" t="s">
        <v>11</v>
      </c>
    </row>
    <row r="38" spans="1:4" x14ac:dyDescent="0.25">
      <c r="A38" s="6" t="s">
        <v>121</v>
      </c>
      <c r="B38" s="5" t="s">
        <v>122</v>
      </c>
      <c r="C38">
        <v>6</v>
      </c>
      <c r="D38" s="2" t="s">
        <v>11</v>
      </c>
    </row>
    <row r="39" spans="1:4" x14ac:dyDescent="0.25">
      <c r="A39" s="6" t="s">
        <v>123</v>
      </c>
      <c r="B39" s="5" t="s">
        <v>61</v>
      </c>
      <c r="C39">
        <v>6</v>
      </c>
      <c r="D39" s="2" t="s">
        <v>11</v>
      </c>
    </row>
    <row r="40" spans="1:4" x14ac:dyDescent="0.25">
      <c r="A40" s="42" t="s">
        <v>437</v>
      </c>
      <c r="B40" s="41" t="s">
        <v>438</v>
      </c>
      <c r="C40">
        <v>6</v>
      </c>
      <c r="D40" s="2" t="s">
        <v>11</v>
      </c>
    </row>
    <row r="41" spans="1:4" x14ac:dyDescent="0.25">
      <c r="A41" s="42" t="s">
        <v>439</v>
      </c>
      <c r="B41" s="41" t="s">
        <v>440</v>
      </c>
      <c r="C41">
        <v>6</v>
      </c>
      <c r="D41" s="2" t="s">
        <v>11</v>
      </c>
    </row>
    <row r="42" spans="1:4" x14ac:dyDescent="0.25">
      <c r="A42" s="44" t="s">
        <v>450</v>
      </c>
      <c r="B42" s="43" t="s">
        <v>59</v>
      </c>
      <c r="C42">
        <v>6</v>
      </c>
      <c r="D42" s="2" t="s">
        <v>11</v>
      </c>
    </row>
    <row r="43" spans="1:4" x14ac:dyDescent="0.25">
      <c r="A43" s="6" t="s">
        <v>124</v>
      </c>
      <c r="B43" s="5" t="s">
        <v>125</v>
      </c>
      <c r="C43" s="3" t="s">
        <v>373</v>
      </c>
      <c r="D43" s="3" t="s">
        <v>375</v>
      </c>
    </row>
    <row r="44" spans="1:4" x14ac:dyDescent="0.25">
      <c r="A44" s="40" t="s">
        <v>425</v>
      </c>
      <c r="B44" s="40" t="s">
        <v>426</v>
      </c>
      <c r="C44">
        <v>6</v>
      </c>
      <c r="D44" s="2" t="s">
        <v>11</v>
      </c>
    </row>
    <row r="45" spans="1:4" x14ac:dyDescent="0.25">
      <c r="A45" s="10" t="s">
        <v>391</v>
      </c>
      <c r="B45" s="9" t="s">
        <v>392</v>
      </c>
      <c r="C45">
        <v>6</v>
      </c>
      <c r="D45" s="2" t="s">
        <v>11</v>
      </c>
    </row>
    <row r="46" spans="1:4" x14ac:dyDescent="0.25">
      <c r="A46" s="6" t="s">
        <v>126</v>
      </c>
      <c r="B46" s="5" t="s">
        <v>127</v>
      </c>
      <c r="C46">
        <v>6</v>
      </c>
      <c r="D46" s="2" t="s">
        <v>11</v>
      </c>
    </row>
    <row r="47" spans="1:4" x14ac:dyDescent="0.25">
      <c r="A47" s="6" t="s">
        <v>128</v>
      </c>
      <c r="B47" s="5" t="s">
        <v>129</v>
      </c>
      <c r="C47" s="3" t="s">
        <v>373</v>
      </c>
      <c r="D47" s="3" t="s">
        <v>375</v>
      </c>
    </row>
    <row r="48" spans="1:4" x14ac:dyDescent="0.25">
      <c r="A48" s="6" t="s">
        <v>130</v>
      </c>
      <c r="B48" s="5" t="s">
        <v>131</v>
      </c>
      <c r="C48" s="3" t="s">
        <v>373</v>
      </c>
      <c r="D48" s="3" t="s">
        <v>375</v>
      </c>
    </row>
    <row r="49" spans="1:4" x14ac:dyDescent="0.25">
      <c r="A49" s="6" t="s">
        <v>132</v>
      </c>
      <c r="B49" s="5" t="s">
        <v>133</v>
      </c>
      <c r="C49" s="3" t="s">
        <v>374</v>
      </c>
      <c r="D49" s="3" t="s">
        <v>376</v>
      </c>
    </row>
    <row r="50" spans="1:4" x14ac:dyDescent="0.25">
      <c r="A50" s="6" t="s">
        <v>134</v>
      </c>
      <c r="B50" s="5" t="s">
        <v>135</v>
      </c>
      <c r="C50" s="3" t="s">
        <v>374</v>
      </c>
      <c r="D50" s="3" t="s">
        <v>376</v>
      </c>
    </row>
    <row r="51" spans="1:4" x14ac:dyDescent="0.25">
      <c r="A51" s="6" t="s">
        <v>136</v>
      </c>
      <c r="B51" s="5" t="s">
        <v>137</v>
      </c>
      <c r="C51" s="3" t="s">
        <v>374</v>
      </c>
      <c r="D51" s="3" t="s">
        <v>376</v>
      </c>
    </row>
    <row r="52" spans="1:4" x14ac:dyDescent="0.25">
      <c r="A52" s="6" t="s">
        <v>138</v>
      </c>
      <c r="B52" s="5" t="s">
        <v>63</v>
      </c>
      <c r="C52" s="3" t="s">
        <v>374</v>
      </c>
      <c r="D52" s="3" t="s">
        <v>376</v>
      </c>
    </row>
    <row r="53" spans="1:4" x14ac:dyDescent="0.25">
      <c r="A53" s="6" t="s">
        <v>139</v>
      </c>
      <c r="B53" s="5" t="s">
        <v>64</v>
      </c>
      <c r="C53" s="3" t="s">
        <v>374</v>
      </c>
      <c r="D53" s="3" t="s">
        <v>376</v>
      </c>
    </row>
    <row r="54" spans="1:4" x14ac:dyDescent="0.25">
      <c r="A54" s="6" t="s">
        <v>140</v>
      </c>
      <c r="B54" s="5" t="s">
        <v>141</v>
      </c>
      <c r="C54" s="3" t="s">
        <v>374</v>
      </c>
      <c r="D54" s="3" t="s">
        <v>376</v>
      </c>
    </row>
    <row r="55" spans="1:4" x14ac:dyDescent="0.25">
      <c r="A55" s="6" t="s">
        <v>142</v>
      </c>
      <c r="B55" s="5" t="s">
        <v>143</v>
      </c>
      <c r="C55" s="3" t="s">
        <v>374</v>
      </c>
      <c r="D55" s="3" t="s">
        <v>376</v>
      </c>
    </row>
    <row r="56" spans="1:4" x14ac:dyDescent="0.25">
      <c r="A56" s="6" t="s">
        <v>144</v>
      </c>
      <c r="B56" s="5" t="s">
        <v>145</v>
      </c>
      <c r="C56" s="3" t="s">
        <v>374</v>
      </c>
      <c r="D56" s="3" t="s">
        <v>376</v>
      </c>
    </row>
    <row r="57" spans="1:4" x14ac:dyDescent="0.25">
      <c r="A57" s="6" t="s">
        <v>146</v>
      </c>
      <c r="B57" s="5" t="s">
        <v>147</v>
      </c>
      <c r="C57" s="3" t="s">
        <v>374</v>
      </c>
      <c r="D57" s="3" t="s">
        <v>376</v>
      </c>
    </row>
    <row r="58" spans="1:4" x14ac:dyDescent="0.25">
      <c r="A58" s="6" t="s">
        <v>148</v>
      </c>
      <c r="B58" s="5" t="s">
        <v>149</v>
      </c>
      <c r="C58" s="3" t="s">
        <v>374</v>
      </c>
      <c r="D58" s="3" t="s">
        <v>376</v>
      </c>
    </row>
    <row r="59" spans="1:4" x14ac:dyDescent="0.25">
      <c r="A59" s="6" t="s">
        <v>150</v>
      </c>
      <c r="B59" s="5" t="s">
        <v>151</v>
      </c>
      <c r="C59" s="3" t="s">
        <v>374</v>
      </c>
      <c r="D59" s="3" t="s">
        <v>376</v>
      </c>
    </row>
    <row r="60" spans="1:4" x14ac:dyDescent="0.25">
      <c r="A60" s="6" t="s">
        <v>152</v>
      </c>
      <c r="B60" s="5" t="s">
        <v>153</v>
      </c>
      <c r="C60" s="3" t="s">
        <v>374</v>
      </c>
      <c r="D60" s="3" t="s">
        <v>376</v>
      </c>
    </row>
    <row r="61" spans="1:4" x14ac:dyDescent="0.25">
      <c r="A61" s="6" t="s">
        <v>154</v>
      </c>
      <c r="B61" s="5" t="s">
        <v>155</v>
      </c>
      <c r="C61" s="3" t="s">
        <v>374</v>
      </c>
      <c r="D61" s="3" t="s">
        <v>376</v>
      </c>
    </row>
    <row r="62" spans="1:4" x14ac:dyDescent="0.25">
      <c r="A62" s="6" t="s">
        <v>156</v>
      </c>
      <c r="B62" s="5" t="s">
        <v>157</v>
      </c>
      <c r="C62" s="3" t="s">
        <v>374</v>
      </c>
      <c r="D62" s="3" t="s">
        <v>376</v>
      </c>
    </row>
    <row r="63" spans="1:4" x14ac:dyDescent="0.25">
      <c r="A63" s="6" t="s">
        <v>158</v>
      </c>
      <c r="B63" s="5" t="s">
        <v>159</v>
      </c>
      <c r="C63" s="3" t="s">
        <v>374</v>
      </c>
      <c r="D63" s="3" t="s">
        <v>376</v>
      </c>
    </row>
    <row r="64" spans="1:4" x14ac:dyDescent="0.25">
      <c r="A64" s="6" t="s">
        <v>160</v>
      </c>
      <c r="B64" s="5" t="s">
        <v>161</v>
      </c>
      <c r="C64" s="3" t="s">
        <v>374</v>
      </c>
      <c r="D64" s="3" t="s">
        <v>376</v>
      </c>
    </row>
    <row r="65" spans="1:4" x14ac:dyDescent="0.25">
      <c r="A65" s="6" t="s">
        <v>162</v>
      </c>
      <c r="B65" s="5" t="s">
        <v>163</v>
      </c>
      <c r="C65" s="3" t="s">
        <v>374</v>
      </c>
      <c r="D65" s="3" t="s">
        <v>376</v>
      </c>
    </row>
    <row r="66" spans="1:4" x14ac:dyDescent="0.25">
      <c r="A66" s="6" t="s">
        <v>164</v>
      </c>
      <c r="B66" s="5" t="s">
        <v>165</v>
      </c>
      <c r="C66" s="3" t="s">
        <v>374</v>
      </c>
      <c r="D66" s="3" t="s">
        <v>376</v>
      </c>
    </row>
    <row r="67" spans="1:4" x14ac:dyDescent="0.25">
      <c r="A67" s="6" t="s">
        <v>166</v>
      </c>
      <c r="B67" s="5" t="s">
        <v>167</v>
      </c>
      <c r="C67" s="3" t="s">
        <v>374</v>
      </c>
      <c r="D67" s="3" t="s">
        <v>376</v>
      </c>
    </row>
    <row r="68" spans="1:4" x14ac:dyDescent="0.25">
      <c r="A68" s="6" t="s">
        <v>168</v>
      </c>
      <c r="B68" s="5" t="s">
        <v>169</v>
      </c>
      <c r="C68" s="3" t="s">
        <v>374</v>
      </c>
      <c r="D68" s="3" t="s">
        <v>376</v>
      </c>
    </row>
    <row r="69" spans="1:4" x14ac:dyDescent="0.25">
      <c r="A69" s="6" t="s">
        <v>170</v>
      </c>
      <c r="B69" s="5" t="s">
        <v>171</v>
      </c>
      <c r="C69" s="3" t="s">
        <v>374</v>
      </c>
      <c r="D69" s="3" t="s">
        <v>376</v>
      </c>
    </row>
    <row r="70" spans="1:4" x14ac:dyDescent="0.25">
      <c r="A70" s="10" t="s">
        <v>393</v>
      </c>
      <c r="B70" s="9" t="s">
        <v>394</v>
      </c>
      <c r="C70" s="3" t="s">
        <v>374</v>
      </c>
      <c r="D70" s="3" t="s">
        <v>376</v>
      </c>
    </row>
    <row r="71" spans="1:4" x14ac:dyDescent="0.25">
      <c r="A71" s="6" t="s">
        <v>172</v>
      </c>
      <c r="B71" s="5" t="s">
        <v>173</v>
      </c>
      <c r="C71" s="3" t="s">
        <v>374</v>
      </c>
      <c r="D71" s="3" t="s">
        <v>376</v>
      </c>
    </row>
    <row r="72" spans="1:4" x14ac:dyDescent="0.25">
      <c r="A72" s="6" t="s">
        <v>174</v>
      </c>
      <c r="B72" s="5" t="s">
        <v>175</v>
      </c>
      <c r="C72" s="3" t="s">
        <v>374</v>
      </c>
      <c r="D72" s="3" t="s">
        <v>376</v>
      </c>
    </row>
    <row r="73" spans="1:4" x14ac:dyDescent="0.25">
      <c r="A73" s="10" t="s">
        <v>395</v>
      </c>
      <c r="B73" s="9" t="s">
        <v>238</v>
      </c>
      <c r="C73" s="3" t="s">
        <v>374</v>
      </c>
      <c r="D73" s="3" t="s">
        <v>376</v>
      </c>
    </row>
    <row r="74" spans="1:4" x14ac:dyDescent="0.25">
      <c r="A74" s="6" t="s">
        <v>176</v>
      </c>
      <c r="B74" s="5" t="s">
        <v>177</v>
      </c>
      <c r="C74" s="3" t="s">
        <v>374</v>
      </c>
      <c r="D74" s="3" t="s">
        <v>376</v>
      </c>
    </row>
    <row r="75" spans="1:4" x14ac:dyDescent="0.25">
      <c r="A75" s="6" t="s">
        <v>178</v>
      </c>
      <c r="B75" s="5" t="s">
        <v>179</v>
      </c>
      <c r="C75" s="3" t="s">
        <v>374</v>
      </c>
      <c r="D75" s="3" t="s">
        <v>376</v>
      </c>
    </row>
    <row r="76" spans="1:4" x14ac:dyDescent="0.25">
      <c r="A76" s="6" t="s">
        <v>180</v>
      </c>
      <c r="B76" s="5" t="s">
        <v>181</v>
      </c>
      <c r="C76" s="3" t="s">
        <v>374</v>
      </c>
      <c r="D76" s="3" t="s">
        <v>376</v>
      </c>
    </row>
    <row r="77" spans="1:4" x14ac:dyDescent="0.25">
      <c r="A77" s="6" t="s">
        <v>182</v>
      </c>
      <c r="B77" s="5" t="s">
        <v>183</v>
      </c>
      <c r="C77" s="3" t="s">
        <v>374</v>
      </c>
      <c r="D77" s="3" t="s">
        <v>376</v>
      </c>
    </row>
    <row r="78" spans="1:4" x14ac:dyDescent="0.25">
      <c r="A78" t="s">
        <v>427</v>
      </c>
      <c r="B78" t="s">
        <v>428</v>
      </c>
      <c r="C78" s="3" t="s">
        <v>374</v>
      </c>
      <c r="D78" s="3" t="s">
        <v>376</v>
      </c>
    </row>
    <row r="79" spans="1:4" x14ac:dyDescent="0.25">
      <c r="A79" s="6" t="s">
        <v>184</v>
      </c>
      <c r="B79" s="5" t="s">
        <v>185</v>
      </c>
      <c r="C79" s="3" t="s">
        <v>374</v>
      </c>
      <c r="D79" s="3" t="s">
        <v>376</v>
      </c>
    </row>
    <row r="80" spans="1:4" x14ac:dyDescent="0.25">
      <c r="A80" s="6" t="s">
        <v>186</v>
      </c>
      <c r="B80" s="5" t="s">
        <v>187</v>
      </c>
      <c r="C80" s="3" t="s">
        <v>374</v>
      </c>
      <c r="D80" s="3" t="s">
        <v>376</v>
      </c>
    </row>
    <row r="81" spans="1:4" x14ac:dyDescent="0.25">
      <c r="A81" s="6" t="s">
        <v>188</v>
      </c>
      <c r="B81" s="5" t="s">
        <v>189</v>
      </c>
      <c r="C81" s="3" t="s">
        <v>374</v>
      </c>
      <c r="D81" s="3" t="s">
        <v>376</v>
      </c>
    </row>
    <row r="82" spans="1:4" x14ac:dyDescent="0.25">
      <c r="A82" s="42" t="s">
        <v>441</v>
      </c>
      <c r="B82" s="41" t="s">
        <v>442</v>
      </c>
      <c r="C82" s="3" t="s">
        <v>374</v>
      </c>
      <c r="D82" s="3" t="s">
        <v>376</v>
      </c>
    </row>
    <row r="83" spans="1:4" x14ac:dyDescent="0.25">
      <c r="A83" s="6" t="s">
        <v>190</v>
      </c>
      <c r="B83" s="5" t="s">
        <v>191</v>
      </c>
      <c r="C83" s="3" t="s">
        <v>374</v>
      </c>
      <c r="D83" s="3" t="s">
        <v>376</v>
      </c>
    </row>
    <row r="84" spans="1:4" x14ac:dyDescent="0.25">
      <c r="A84" s="6" t="s">
        <v>192</v>
      </c>
      <c r="B84" s="5" t="s">
        <v>193</v>
      </c>
      <c r="C84" s="3" t="s">
        <v>374</v>
      </c>
      <c r="D84" s="3" t="s">
        <v>376</v>
      </c>
    </row>
    <row r="85" spans="1:4" x14ac:dyDescent="0.25">
      <c r="A85" s="42" t="s">
        <v>443</v>
      </c>
      <c r="B85" s="41" t="s">
        <v>444</v>
      </c>
      <c r="C85" s="3" t="s">
        <v>374</v>
      </c>
      <c r="D85" s="3" t="s">
        <v>376</v>
      </c>
    </row>
    <row r="86" spans="1:4" x14ac:dyDescent="0.25">
      <c r="A86" s="6" t="s">
        <v>194</v>
      </c>
      <c r="B86" s="5" t="s">
        <v>195</v>
      </c>
      <c r="C86" s="3" t="s">
        <v>374</v>
      </c>
      <c r="D86" s="3" t="s">
        <v>376</v>
      </c>
    </row>
    <row r="87" spans="1:4" x14ac:dyDescent="0.25">
      <c r="A87" t="s">
        <v>516</v>
      </c>
      <c r="B87" t="s">
        <v>315</v>
      </c>
      <c r="C87" s="3" t="s">
        <v>374</v>
      </c>
      <c r="D87" s="3" t="s">
        <v>376</v>
      </c>
    </row>
    <row r="88" spans="1:4" x14ac:dyDescent="0.25">
      <c r="A88" s="6" t="s">
        <v>196</v>
      </c>
      <c r="B88" s="5" t="s">
        <v>197</v>
      </c>
      <c r="C88" s="3" t="s">
        <v>374</v>
      </c>
      <c r="D88" s="3" t="s">
        <v>376</v>
      </c>
    </row>
    <row r="89" spans="1:4" x14ac:dyDescent="0.25">
      <c r="A89" s="6" t="s">
        <v>198</v>
      </c>
      <c r="B89" s="5" t="s">
        <v>199</v>
      </c>
      <c r="C89" s="3" t="s">
        <v>374</v>
      </c>
      <c r="D89" s="3" t="s">
        <v>376</v>
      </c>
    </row>
    <row r="90" spans="1:4" x14ac:dyDescent="0.25">
      <c r="A90" s="6" t="s">
        <v>200</v>
      </c>
      <c r="B90" s="5" t="s">
        <v>201</v>
      </c>
      <c r="C90" s="3" t="s">
        <v>374</v>
      </c>
      <c r="D90" s="3" t="s">
        <v>376</v>
      </c>
    </row>
    <row r="91" spans="1:4" x14ac:dyDescent="0.25">
      <c r="A91" s="6" t="s">
        <v>202</v>
      </c>
      <c r="B91" s="5" t="s">
        <v>203</v>
      </c>
      <c r="C91" s="3" t="s">
        <v>374</v>
      </c>
      <c r="D91" s="3" t="s">
        <v>376</v>
      </c>
    </row>
    <row r="92" spans="1:4" x14ac:dyDescent="0.25">
      <c r="A92" s="6" t="s">
        <v>204</v>
      </c>
      <c r="B92" s="5" t="s">
        <v>205</v>
      </c>
      <c r="C92" s="3" t="s">
        <v>374</v>
      </c>
      <c r="D92" s="3" t="s">
        <v>376</v>
      </c>
    </row>
    <row r="93" spans="1:4" x14ac:dyDescent="0.25">
      <c r="A93" s="6" t="s">
        <v>206</v>
      </c>
      <c r="B93" s="5" t="s">
        <v>207</v>
      </c>
      <c r="C93" s="3" t="s">
        <v>374</v>
      </c>
      <c r="D93" s="3" t="s">
        <v>376</v>
      </c>
    </row>
    <row r="94" spans="1:4" x14ac:dyDescent="0.25">
      <c r="A94" s="6" t="s">
        <v>208</v>
      </c>
      <c r="B94" s="5" t="s">
        <v>209</v>
      </c>
      <c r="C94" s="3" t="s">
        <v>374</v>
      </c>
      <c r="D94" s="3" t="s">
        <v>376</v>
      </c>
    </row>
    <row r="95" spans="1:4" x14ac:dyDescent="0.25">
      <c r="A95" s="6" t="s">
        <v>210</v>
      </c>
      <c r="B95" s="5" t="s">
        <v>211</v>
      </c>
      <c r="C95" s="3" t="s">
        <v>374</v>
      </c>
      <c r="D95" s="3" t="s">
        <v>376</v>
      </c>
    </row>
    <row r="96" spans="1:4" x14ac:dyDescent="0.25">
      <c r="A96" s="6" t="s">
        <v>212</v>
      </c>
      <c r="B96" s="5" t="s">
        <v>213</v>
      </c>
      <c r="C96" s="3" t="s">
        <v>374</v>
      </c>
      <c r="D96" s="3" t="s">
        <v>376</v>
      </c>
    </row>
    <row r="97" spans="1:4" x14ac:dyDescent="0.25">
      <c r="A97" s="6" t="s">
        <v>214</v>
      </c>
      <c r="B97" s="5" t="s">
        <v>215</v>
      </c>
      <c r="C97" s="3" t="s">
        <v>374</v>
      </c>
      <c r="D97" s="3" t="s">
        <v>376</v>
      </c>
    </row>
    <row r="98" spans="1:4" x14ac:dyDescent="0.25">
      <c r="A98" s="6" t="s">
        <v>216</v>
      </c>
      <c r="B98" s="5" t="s">
        <v>217</v>
      </c>
      <c r="C98" s="3" t="s">
        <v>374</v>
      </c>
      <c r="D98" s="3" t="s">
        <v>376</v>
      </c>
    </row>
    <row r="99" spans="1:4" x14ac:dyDescent="0.25">
      <c r="A99" s="6" t="s">
        <v>218</v>
      </c>
      <c r="B99" s="5" t="s">
        <v>219</v>
      </c>
      <c r="C99" s="3" t="s">
        <v>374</v>
      </c>
      <c r="D99" s="3" t="s">
        <v>376</v>
      </c>
    </row>
    <row r="100" spans="1:4" x14ac:dyDescent="0.25">
      <c r="A100" s="6" t="s">
        <v>220</v>
      </c>
      <c r="B100" s="5" t="s">
        <v>221</v>
      </c>
      <c r="C100" s="3" t="s">
        <v>373</v>
      </c>
      <c r="D100" s="8" t="s">
        <v>375</v>
      </c>
    </row>
    <row r="101" spans="1:4" x14ac:dyDescent="0.25">
      <c r="A101" s="6" t="s">
        <v>222</v>
      </c>
      <c r="B101" s="5" t="s">
        <v>133</v>
      </c>
      <c r="C101">
        <v>10</v>
      </c>
      <c r="D101" s="1" t="s">
        <v>15</v>
      </c>
    </row>
    <row r="102" spans="1:4" x14ac:dyDescent="0.25">
      <c r="A102" s="6" t="s">
        <v>223</v>
      </c>
      <c r="B102" s="5" t="s">
        <v>135</v>
      </c>
      <c r="C102">
        <v>10</v>
      </c>
      <c r="D102" s="1" t="s">
        <v>15</v>
      </c>
    </row>
    <row r="103" spans="1:4" x14ac:dyDescent="0.25">
      <c r="A103" s="6" t="s">
        <v>224</v>
      </c>
      <c r="B103" s="5" t="s">
        <v>137</v>
      </c>
      <c r="C103">
        <v>10</v>
      </c>
      <c r="D103" s="1" t="s">
        <v>15</v>
      </c>
    </row>
    <row r="104" spans="1:4" x14ac:dyDescent="0.25">
      <c r="A104" s="6" t="s">
        <v>225</v>
      </c>
      <c r="B104" s="5" t="s">
        <v>63</v>
      </c>
      <c r="C104">
        <v>10</v>
      </c>
      <c r="D104" s="1" t="s">
        <v>15</v>
      </c>
    </row>
    <row r="105" spans="1:4" x14ac:dyDescent="0.25">
      <c r="A105" s="6" t="s">
        <v>226</v>
      </c>
      <c r="B105" s="5" t="s">
        <v>64</v>
      </c>
      <c r="C105">
        <v>10</v>
      </c>
      <c r="D105" s="1" t="s">
        <v>15</v>
      </c>
    </row>
    <row r="106" spans="1:4" x14ac:dyDescent="0.25">
      <c r="A106" s="6" t="s">
        <v>227</v>
      </c>
      <c r="B106" s="5" t="s">
        <v>228</v>
      </c>
      <c r="C106">
        <v>10</v>
      </c>
      <c r="D106" s="1" t="s">
        <v>15</v>
      </c>
    </row>
    <row r="107" spans="1:4" x14ac:dyDescent="0.25">
      <c r="A107" s="10" t="s">
        <v>396</v>
      </c>
      <c r="B107" s="9" t="s">
        <v>145</v>
      </c>
      <c r="C107">
        <v>10</v>
      </c>
      <c r="D107" s="1" t="s">
        <v>15</v>
      </c>
    </row>
    <row r="108" spans="1:4" x14ac:dyDescent="0.25">
      <c r="A108" s="35" t="s">
        <v>412</v>
      </c>
      <c r="B108" s="34" t="s">
        <v>413</v>
      </c>
      <c r="C108">
        <v>10</v>
      </c>
      <c r="D108" s="1" t="s">
        <v>15</v>
      </c>
    </row>
    <row r="109" spans="1:4" x14ac:dyDescent="0.25">
      <c r="A109" s="6" t="s">
        <v>229</v>
      </c>
      <c r="B109" s="5" t="s">
        <v>151</v>
      </c>
      <c r="C109">
        <v>10</v>
      </c>
      <c r="D109" s="1" t="s">
        <v>15</v>
      </c>
    </row>
    <row r="110" spans="1:4" x14ac:dyDescent="0.25">
      <c r="A110" s="6" t="s">
        <v>230</v>
      </c>
      <c r="B110" s="5" t="s">
        <v>155</v>
      </c>
      <c r="C110">
        <v>10</v>
      </c>
      <c r="D110" s="1" t="s">
        <v>15</v>
      </c>
    </row>
    <row r="111" spans="1:4" x14ac:dyDescent="0.25">
      <c r="A111" s="6" t="s">
        <v>231</v>
      </c>
      <c r="B111" s="5" t="s">
        <v>232</v>
      </c>
      <c r="C111">
        <v>10</v>
      </c>
      <c r="D111" s="1" t="s">
        <v>15</v>
      </c>
    </row>
    <row r="112" spans="1:4" x14ac:dyDescent="0.25">
      <c r="A112" s="6" t="s">
        <v>233</v>
      </c>
      <c r="B112" s="5" t="s">
        <v>161</v>
      </c>
      <c r="C112">
        <v>10</v>
      </c>
      <c r="D112" s="1" t="s">
        <v>15</v>
      </c>
    </row>
    <row r="113" spans="1:4" x14ac:dyDescent="0.25">
      <c r="A113" s="50" t="s">
        <v>473</v>
      </c>
      <c r="B113" s="50" t="s">
        <v>165</v>
      </c>
      <c r="C113">
        <v>10</v>
      </c>
      <c r="D113" s="1" t="s">
        <v>15</v>
      </c>
    </row>
    <row r="114" spans="1:4" x14ac:dyDescent="0.25">
      <c r="A114" s="35" t="s">
        <v>414</v>
      </c>
      <c r="B114" s="34" t="s">
        <v>171</v>
      </c>
      <c r="C114">
        <v>10</v>
      </c>
      <c r="D114" s="1" t="s">
        <v>15</v>
      </c>
    </row>
    <row r="115" spans="1:4" x14ac:dyDescent="0.25">
      <c r="A115" s="6" t="s">
        <v>234</v>
      </c>
      <c r="B115" s="5" t="s">
        <v>173</v>
      </c>
      <c r="C115">
        <v>10</v>
      </c>
      <c r="D115" s="1" t="s">
        <v>15</v>
      </c>
    </row>
    <row r="116" spans="1:4" x14ac:dyDescent="0.25">
      <c r="A116" s="6" t="s">
        <v>235</v>
      </c>
      <c r="B116" s="5" t="s">
        <v>236</v>
      </c>
      <c r="C116">
        <v>10</v>
      </c>
      <c r="D116" s="1" t="s">
        <v>15</v>
      </c>
    </row>
    <row r="117" spans="1:4" x14ac:dyDescent="0.25">
      <c r="A117" s="6" t="s">
        <v>237</v>
      </c>
      <c r="B117" s="5" t="s">
        <v>238</v>
      </c>
      <c r="C117">
        <v>10</v>
      </c>
      <c r="D117" s="1" t="s">
        <v>15</v>
      </c>
    </row>
    <row r="118" spans="1:4" x14ac:dyDescent="0.25">
      <c r="A118" s="42" t="s">
        <v>445</v>
      </c>
      <c r="B118" s="41" t="s">
        <v>177</v>
      </c>
      <c r="C118">
        <v>10</v>
      </c>
      <c r="D118" s="1" t="s">
        <v>15</v>
      </c>
    </row>
    <row r="119" spans="1:4" x14ac:dyDescent="0.25">
      <c r="A119" s="6" t="s">
        <v>239</v>
      </c>
      <c r="B119" s="5" t="s">
        <v>179</v>
      </c>
      <c r="C119">
        <v>10</v>
      </c>
      <c r="D119" s="1" t="s">
        <v>15</v>
      </c>
    </row>
    <row r="120" spans="1:4" x14ac:dyDescent="0.25">
      <c r="A120" s="6" t="s">
        <v>240</v>
      </c>
      <c r="B120" s="5" t="s">
        <v>187</v>
      </c>
      <c r="C120">
        <v>10</v>
      </c>
      <c r="D120" s="1" t="s">
        <v>15</v>
      </c>
    </row>
    <row r="121" spans="1:4" x14ac:dyDescent="0.25">
      <c r="A121" t="s">
        <v>468</v>
      </c>
      <c r="B121" t="s">
        <v>189</v>
      </c>
      <c r="C121">
        <v>10</v>
      </c>
      <c r="D121" s="1" t="s">
        <v>15</v>
      </c>
    </row>
    <row r="122" spans="1:4" x14ac:dyDescent="0.25">
      <c r="A122" s="6" t="s">
        <v>241</v>
      </c>
      <c r="B122" s="5" t="s">
        <v>191</v>
      </c>
      <c r="C122">
        <v>10</v>
      </c>
      <c r="D122" s="1" t="s">
        <v>15</v>
      </c>
    </row>
    <row r="123" spans="1:4" x14ac:dyDescent="0.25">
      <c r="A123" s="6" t="s">
        <v>242</v>
      </c>
      <c r="B123" s="5" t="s">
        <v>243</v>
      </c>
      <c r="C123">
        <v>10</v>
      </c>
      <c r="D123" s="1" t="s">
        <v>15</v>
      </c>
    </row>
    <row r="124" spans="1:4" x14ac:dyDescent="0.25">
      <c r="A124" s="49" t="s">
        <v>460</v>
      </c>
      <c r="B124" s="48" t="s">
        <v>461</v>
      </c>
      <c r="C124">
        <v>10</v>
      </c>
      <c r="D124" s="1" t="s">
        <v>15</v>
      </c>
    </row>
    <row r="125" spans="1:4" x14ac:dyDescent="0.25">
      <c r="A125" s="6" t="s">
        <v>244</v>
      </c>
      <c r="B125" s="5" t="s">
        <v>201</v>
      </c>
      <c r="C125">
        <v>10</v>
      </c>
      <c r="D125" s="1" t="s">
        <v>15</v>
      </c>
    </row>
    <row r="126" spans="1:4" x14ac:dyDescent="0.25">
      <c r="A126" s="6" t="s">
        <v>245</v>
      </c>
      <c r="B126" s="5" t="s">
        <v>205</v>
      </c>
      <c r="C126">
        <v>10</v>
      </c>
      <c r="D126" s="1" t="s">
        <v>15</v>
      </c>
    </row>
    <row r="127" spans="1:4" x14ac:dyDescent="0.25">
      <c r="A127" s="6" t="s">
        <v>246</v>
      </c>
      <c r="B127" s="5" t="s">
        <v>247</v>
      </c>
      <c r="C127">
        <v>10</v>
      </c>
      <c r="D127" s="1" t="s">
        <v>15</v>
      </c>
    </row>
    <row r="128" spans="1:4" x14ac:dyDescent="0.25">
      <c r="A128" s="6" t="s">
        <v>248</v>
      </c>
      <c r="B128" s="5" t="s">
        <v>209</v>
      </c>
      <c r="C128">
        <v>10</v>
      </c>
      <c r="D128" s="1" t="s">
        <v>15</v>
      </c>
    </row>
    <row r="129" spans="1:4" x14ac:dyDescent="0.25">
      <c r="A129" s="6" t="s">
        <v>249</v>
      </c>
      <c r="B129" s="5" t="s">
        <v>211</v>
      </c>
      <c r="C129">
        <v>10</v>
      </c>
      <c r="D129" s="1" t="s">
        <v>15</v>
      </c>
    </row>
    <row r="130" spans="1:4" x14ac:dyDescent="0.25">
      <c r="A130" s="6" t="s">
        <v>250</v>
      </c>
      <c r="B130" s="5" t="s">
        <v>213</v>
      </c>
      <c r="C130">
        <v>10</v>
      </c>
      <c r="D130" s="1" t="s">
        <v>15</v>
      </c>
    </row>
    <row r="131" spans="1:4" x14ac:dyDescent="0.25">
      <c r="A131" s="6" t="s">
        <v>251</v>
      </c>
      <c r="B131" s="5" t="s">
        <v>252</v>
      </c>
      <c r="C131">
        <v>10</v>
      </c>
      <c r="D131" s="1" t="s">
        <v>15</v>
      </c>
    </row>
    <row r="132" spans="1:4" x14ac:dyDescent="0.25">
      <c r="A132" s="6" t="s">
        <v>253</v>
      </c>
      <c r="B132" s="5" t="s">
        <v>217</v>
      </c>
      <c r="C132">
        <v>10</v>
      </c>
      <c r="D132" s="1" t="s">
        <v>15</v>
      </c>
    </row>
    <row r="133" spans="1:4" x14ac:dyDescent="0.25">
      <c r="A133" s="6" t="s">
        <v>254</v>
      </c>
      <c r="B133" s="5" t="s">
        <v>255</v>
      </c>
      <c r="C133">
        <v>10</v>
      </c>
      <c r="D133" s="1" t="s">
        <v>15</v>
      </c>
    </row>
    <row r="134" spans="1:4" x14ac:dyDescent="0.25">
      <c r="A134" s="6" t="s">
        <v>256</v>
      </c>
      <c r="B134" s="5" t="s">
        <v>257</v>
      </c>
      <c r="C134">
        <v>10</v>
      </c>
      <c r="D134" s="1" t="s">
        <v>15</v>
      </c>
    </row>
    <row r="135" spans="1:4" x14ac:dyDescent="0.25">
      <c r="A135" s="6" t="s">
        <v>258</v>
      </c>
      <c r="B135" s="5" t="s">
        <v>259</v>
      </c>
      <c r="C135">
        <v>10</v>
      </c>
      <c r="D135" s="1" t="s">
        <v>15</v>
      </c>
    </row>
    <row r="136" spans="1:4" x14ac:dyDescent="0.25">
      <c r="A136" t="s">
        <v>498</v>
      </c>
      <c r="B136" t="s">
        <v>499</v>
      </c>
      <c r="C136">
        <v>10</v>
      </c>
      <c r="D136" s="1" t="s">
        <v>15</v>
      </c>
    </row>
    <row r="137" spans="1:4" x14ac:dyDescent="0.25">
      <c r="A137" s="42" t="s">
        <v>446</v>
      </c>
      <c r="B137" s="41" t="s">
        <v>447</v>
      </c>
      <c r="C137">
        <v>10</v>
      </c>
      <c r="D137" s="1" t="s">
        <v>15</v>
      </c>
    </row>
    <row r="138" spans="1:4" x14ac:dyDescent="0.25">
      <c r="A138" s="6" t="s">
        <v>260</v>
      </c>
      <c r="B138" s="5" t="s">
        <v>261</v>
      </c>
      <c r="C138" s="3" t="s">
        <v>373</v>
      </c>
      <c r="D138" s="8" t="s">
        <v>375</v>
      </c>
    </row>
    <row r="139" spans="1:4" x14ac:dyDescent="0.25">
      <c r="A139" s="6" t="s">
        <v>262</v>
      </c>
      <c r="B139" s="5" t="s">
        <v>133</v>
      </c>
      <c r="C139">
        <v>11</v>
      </c>
      <c r="D139" s="1" t="s">
        <v>16</v>
      </c>
    </row>
    <row r="140" spans="1:4" x14ac:dyDescent="0.25">
      <c r="A140" s="6" t="s">
        <v>263</v>
      </c>
      <c r="B140" s="5" t="s">
        <v>135</v>
      </c>
      <c r="C140">
        <v>11</v>
      </c>
      <c r="D140" s="1" t="s">
        <v>16</v>
      </c>
    </row>
    <row r="141" spans="1:4" x14ac:dyDescent="0.25">
      <c r="A141" s="6" t="s">
        <v>264</v>
      </c>
      <c r="B141" s="5" t="s">
        <v>137</v>
      </c>
      <c r="C141">
        <v>11</v>
      </c>
      <c r="D141" s="1" t="s">
        <v>16</v>
      </c>
    </row>
    <row r="142" spans="1:4" x14ac:dyDescent="0.25">
      <c r="A142" s="6" t="s">
        <v>265</v>
      </c>
      <c r="B142" s="5" t="s">
        <v>266</v>
      </c>
      <c r="C142">
        <v>11</v>
      </c>
      <c r="D142" s="1" t="s">
        <v>16</v>
      </c>
    </row>
    <row r="143" spans="1:4" x14ac:dyDescent="0.25">
      <c r="A143" s="6" t="s">
        <v>267</v>
      </c>
      <c r="B143" s="5" t="s">
        <v>63</v>
      </c>
      <c r="C143">
        <v>11</v>
      </c>
      <c r="D143" s="1" t="s">
        <v>16</v>
      </c>
    </row>
    <row r="144" spans="1:4" x14ac:dyDescent="0.25">
      <c r="A144" s="6" t="s">
        <v>268</v>
      </c>
      <c r="B144" s="5" t="s">
        <v>64</v>
      </c>
      <c r="C144">
        <v>11</v>
      </c>
      <c r="D144" s="1" t="s">
        <v>16</v>
      </c>
    </row>
    <row r="145" spans="1:4" x14ac:dyDescent="0.25">
      <c r="A145" s="6" t="s">
        <v>269</v>
      </c>
      <c r="B145" s="5" t="s">
        <v>270</v>
      </c>
      <c r="C145">
        <v>11</v>
      </c>
      <c r="D145" s="1" t="s">
        <v>16</v>
      </c>
    </row>
    <row r="146" spans="1:4" x14ac:dyDescent="0.25">
      <c r="A146" s="6" t="s">
        <v>271</v>
      </c>
      <c r="B146" s="5" t="s">
        <v>141</v>
      </c>
      <c r="C146">
        <v>11</v>
      </c>
      <c r="D146" s="1" t="s">
        <v>16</v>
      </c>
    </row>
    <row r="147" spans="1:4" x14ac:dyDescent="0.25">
      <c r="A147" s="6" t="s">
        <v>272</v>
      </c>
      <c r="B147" s="5" t="s">
        <v>273</v>
      </c>
      <c r="C147">
        <v>11</v>
      </c>
      <c r="D147" s="1" t="s">
        <v>16</v>
      </c>
    </row>
    <row r="148" spans="1:4" x14ac:dyDescent="0.25">
      <c r="A148" s="6" t="s">
        <v>274</v>
      </c>
      <c r="B148" s="5" t="s">
        <v>275</v>
      </c>
      <c r="C148">
        <v>11</v>
      </c>
      <c r="D148" s="1" t="s">
        <v>16</v>
      </c>
    </row>
    <row r="149" spans="1:4" x14ac:dyDescent="0.25">
      <c r="A149" s="6" t="s">
        <v>276</v>
      </c>
      <c r="B149" s="5" t="s">
        <v>277</v>
      </c>
      <c r="C149">
        <v>11</v>
      </c>
      <c r="D149" s="1" t="s">
        <v>16</v>
      </c>
    </row>
    <row r="150" spans="1:4" x14ac:dyDescent="0.25">
      <c r="A150" s="6" t="s">
        <v>278</v>
      </c>
      <c r="B150" s="5" t="s">
        <v>143</v>
      </c>
      <c r="C150">
        <v>11</v>
      </c>
      <c r="D150" s="1" t="s">
        <v>16</v>
      </c>
    </row>
    <row r="151" spans="1:4" x14ac:dyDescent="0.25">
      <c r="A151" s="6" t="s">
        <v>279</v>
      </c>
      <c r="B151" s="5" t="s">
        <v>145</v>
      </c>
      <c r="C151">
        <v>11</v>
      </c>
      <c r="D151" s="1" t="s">
        <v>16</v>
      </c>
    </row>
    <row r="152" spans="1:4" x14ac:dyDescent="0.25">
      <c r="A152" s="6" t="s">
        <v>280</v>
      </c>
      <c r="B152" s="5" t="s">
        <v>147</v>
      </c>
      <c r="C152">
        <v>11</v>
      </c>
      <c r="D152" s="1" t="s">
        <v>16</v>
      </c>
    </row>
    <row r="153" spans="1:4" x14ac:dyDescent="0.25">
      <c r="A153" s="6" t="s">
        <v>281</v>
      </c>
      <c r="B153" s="5" t="s">
        <v>282</v>
      </c>
      <c r="C153">
        <v>11</v>
      </c>
      <c r="D153" s="1" t="s">
        <v>16</v>
      </c>
    </row>
    <row r="154" spans="1:4" x14ac:dyDescent="0.25">
      <c r="A154" s="6" t="s">
        <v>283</v>
      </c>
      <c r="B154" s="5" t="s">
        <v>151</v>
      </c>
      <c r="C154">
        <v>11</v>
      </c>
      <c r="D154" s="1" t="s">
        <v>16</v>
      </c>
    </row>
    <row r="155" spans="1:4" x14ac:dyDescent="0.25">
      <c r="A155" s="6" t="s">
        <v>284</v>
      </c>
      <c r="B155" s="5" t="s">
        <v>153</v>
      </c>
      <c r="C155">
        <v>11</v>
      </c>
      <c r="D155" s="1" t="s">
        <v>16</v>
      </c>
    </row>
    <row r="156" spans="1:4" x14ac:dyDescent="0.25">
      <c r="A156" s="6" t="s">
        <v>285</v>
      </c>
      <c r="B156" s="5" t="s">
        <v>155</v>
      </c>
      <c r="C156">
        <v>11</v>
      </c>
      <c r="D156" s="1" t="s">
        <v>16</v>
      </c>
    </row>
    <row r="157" spans="1:4" x14ac:dyDescent="0.25">
      <c r="A157" s="6" t="s">
        <v>286</v>
      </c>
      <c r="B157" s="5" t="s">
        <v>159</v>
      </c>
      <c r="C157">
        <v>11</v>
      </c>
      <c r="D157" s="1" t="s">
        <v>16</v>
      </c>
    </row>
    <row r="158" spans="1:4" x14ac:dyDescent="0.25">
      <c r="A158" s="6" t="s">
        <v>287</v>
      </c>
      <c r="B158" s="5" t="s">
        <v>288</v>
      </c>
      <c r="C158">
        <v>11</v>
      </c>
      <c r="D158" s="1" t="s">
        <v>16</v>
      </c>
    </row>
    <row r="159" spans="1:4" x14ac:dyDescent="0.25">
      <c r="A159" s="6" t="s">
        <v>289</v>
      </c>
      <c r="B159" s="5" t="s">
        <v>161</v>
      </c>
      <c r="C159">
        <v>11</v>
      </c>
      <c r="D159" s="1" t="s">
        <v>16</v>
      </c>
    </row>
    <row r="160" spans="1:4" x14ac:dyDescent="0.25">
      <c r="A160" s="6" t="s">
        <v>290</v>
      </c>
      <c r="B160" s="5" t="s">
        <v>163</v>
      </c>
      <c r="C160">
        <v>11</v>
      </c>
      <c r="D160" s="1" t="s">
        <v>16</v>
      </c>
    </row>
    <row r="161" spans="1:4" x14ac:dyDescent="0.25">
      <c r="A161" s="6" t="s">
        <v>291</v>
      </c>
      <c r="B161" s="5" t="s">
        <v>165</v>
      </c>
      <c r="C161">
        <v>11</v>
      </c>
      <c r="D161" s="1" t="s">
        <v>16</v>
      </c>
    </row>
    <row r="162" spans="1:4" x14ac:dyDescent="0.25">
      <c r="A162" s="6" t="s">
        <v>292</v>
      </c>
      <c r="B162" s="5" t="s">
        <v>167</v>
      </c>
      <c r="C162">
        <v>11</v>
      </c>
      <c r="D162" s="1" t="s">
        <v>16</v>
      </c>
    </row>
    <row r="163" spans="1:4" x14ac:dyDescent="0.25">
      <c r="A163" s="6" t="s">
        <v>293</v>
      </c>
      <c r="B163" s="5" t="s">
        <v>169</v>
      </c>
      <c r="C163">
        <v>11</v>
      </c>
      <c r="D163" s="1" t="s">
        <v>16</v>
      </c>
    </row>
    <row r="164" spans="1:4" x14ac:dyDescent="0.25">
      <c r="A164" s="6" t="s">
        <v>294</v>
      </c>
      <c r="B164" s="5" t="s">
        <v>295</v>
      </c>
      <c r="C164">
        <v>11</v>
      </c>
      <c r="D164" s="1" t="s">
        <v>16</v>
      </c>
    </row>
    <row r="165" spans="1:4" x14ac:dyDescent="0.25">
      <c r="A165" s="6" t="s">
        <v>296</v>
      </c>
      <c r="B165" s="5" t="s">
        <v>297</v>
      </c>
      <c r="C165">
        <v>11</v>
      </c>
      <c r="D165" s="1" t="s">
        <v>16</v>
      </c>
    </row>
    <row r="166" spans="1:4" x14ac:dyDescent="0.25">
      <c r="A166" s="6" t="s">
        <v>298</v>
      </c>
      <c r="B166" s="5" t="s">
        <v>171</v>
      </c>
      <c r="C166">
        <v>11</v>
      </c>
      <c r="D166" s="1" t="s">
        <v>16</v>
      </c>
    </row>
    <row r="167" spans="1:4" x14ac:dyDescent="0.25">
      <c r="A167" s="6" t="s">
        <v>299</v>
      </c>
      <c r="B167" s="5" t="s">
        <v>300</v>
      </c>
      <c r="C167">
        <v>11</v>
      </c>
      <c r="D167" s="1" t="s">
        <v>16</v>
      </c>
    </row>
    <row r="168" spans="1:4" x14ac:dyDescent="0.25">
      <c r="A168" s="10" t="s">
        <v>397</v>
      </c>
      <c r="B168" s="9" t="s">
        <v>394</v>
      </c>
      <c r="C168">
        <v>11</v>
      </c>
      <c r="D168" s="1" t="s">
        <v>16</v>
      </c>
    </row>
    <row r="169" spans="1:4" x14ac:dyDescent="0.25">
      <c r="A169" s="6" t="s">
        <v>301</v>
      </c>
      <c r="B169" s="5" t="s">
        <v>302</v>
      </c>
      <c r="C169">
        <v>11</v>
      </c>
      <c r="D169" s="1" t="s">
        <v>16</v>
      </c>
    </row>
    <row r="170" spans="1:4" x14ac:dyDescent="0.25">
      <c r="A170" s="6" t="s">
        <v>303</v>
      </c>
      <c r="B170" s="5" t="s">
        <v>173</v>
      </c>
      <c r="C170">
        <v>11</v>
      </c>
      <c r="D170" s="1" t="s">
        <v>16</v>
      </c>
    </row>
    <row r="171" spans="1:4" x14ac:dyDescent="0.25">
      <c r="A171" s="6" t="s">
        <v>304</v>
      </c>
      <c r="B171" s="5" t="s">
        <v>175</v>
      </c>
      <c r="C171">
        <v>11</v>
      </c>
      <c r="D171" s="1" t="s">
        <v>16</v>
      </c>
    </row>
    <row r="172" spans="1:4" x14ac:dyDescent="0.25">
      <c r="A172" s="6" t="s">
        <v>305</v>
      </c>
      <c r="B172" s="5" t="s">
        <v>306</v>
      </c>
      <c r="C172">
        <v>11</v>
      </c>
      <c r="D172" s="1" t="s">
        <v>16</v>
      </c>
    </row>
    <row r="173" spans="1:4" x14ac:dyDescent="0.25">
      <c r="A173" s="6" t="s">
        <v>307</v>
      </c>
      <c r="B173" s="5" t="s">
        <v>238</v>
      </c>
      <c r="C173">
        <v>11</v>
      </c>
      <c r="D173" s="1" t="s">
        <v>16</v>
      </c>
    </row>
    <row r="174" spans="1:4" x14ac:dyDescent="0.25">
      <c r="A174" s="50" t="s">
        <v>474</v>
      </c>
      <c r="B174" s="50" t="s">
        <v>177</v>
      </c>
      <c r="C174">
        <v>11</v>
      </c>
      <c r="D174" s="1" t="s">
        <v>16</v>
      </c>
    </row>
    <row r="175" spans="1:4" x14ac:dyDescent="0.25">
      <c r="A175" s="6" t="s">
        <v>308</v>
      </c>
      <c r="B175" s="5" t="s">
        <v>187</v>
      </c>
      <c r="C175">
        <v>11</v>
      </c>
      <c r="D175" s="1" t="s">
        <v>16</v>
      </c>
    </row>
    <row r="176" spans="1:4" x14ac:dyDescent="0.25">
      <c r="A176" s="6" t="s">
        <v>309</v>
      </c>
      <c r="B176" s="5" t="s">
        <v>189</v>
      </c>
      <c r="C176">
        <v>11</v>
      </c>
      <c r="D176" s="1" t="s">
        <v>16</v>
      </c>
    </row>
    <row r="177" spans="1:4" x14ac:dyDescent="0.25">
      <c r="A177" s="6" t="s">
        <v>310</v>
      </c>
      <c r="B177" s="5" t="s">
        <v>191</v>
      </c>
      <c r="C177">
        <v>11</v>
      </c>
      <c r="D177" s="1" t="s">
        <v>16</v>
      </c>
    </row>
    <row r="178" spans="1:4" x14ac:dyDescent="0.25">
      <c r="A178" s="6" t="s">
        <v>311</v>
      </c>
      <c r="B178" s="5" t="s">
        <v>312</v>
      </c>
      <c r="C178">
        <v>11</v>
      </c>
      <c r="D178" s="1" t="s">
        <v>16</v>
      </c>
    </row>
    <row r="179" spans="1:4" x14ac:dyDescent="0.25">
      <c r="A179" s="44" t="s">
        <v>451</v>
      </c>
      <c r="B179" s="43" t="s">
        <v>444</v>
      </c>
      <c r="C179">
        <v>11</v>
      </c>
      <c r="D179" s="1" t="s">
        <v>16</v>
      </c>
    </row>
    <row r="180" spans="1:4" x14ac:dyDescent="0.25">
      <c r="A180" s="6" t="s">
        <v>313</v>
      </c>
      <c r="B180" s="5" t="s">
        <v>195</v>
      </c>
      <c r="C180">
        <v>11</v>
      </c>
      <c r="D180" s="1" t="s">
        <v>16</v>
      </c>
    </row>
    <row r="181" spans="1:4" x14ac:dyDescent="0.25">
      <c r="A181" s="6" t="s">
        <v>314</v>
      </c>
      <c r="B181" s="5" t="s">
        <v>315</v>
      </c>
      <c r="C181">
        <v>11</v>
      </c>
      <c r="D181" s="1" t="s">
        <v>16</v>
      </c>
    </row>
    <row r="182" spans="1:4" x14ac:dyDescent="0.25">
      <c r="A182" s="6" t="s">
        <v>316</v>
      </c>
      <c r="B182" s="5" t="s">
        <v>199</v>
      </c>
      <c r="C182">
        <v>11</v>
      </c>
      <c r="D182" s="1" t="s">
        <v>16</v>
      </c>
    </row>
    <row r="183" spans="1:4" x14ac:dyDescent="0.25">
      <c r="A183" s="6" t="s">
        <v>317</v>
      </c>
      <c r="B183" s="5" t="s">
        <v>201</v>
      </c>
      <c r="C183">
        <v>11</v>
      </c>
      <c r="D183" s="1" t="s">
        <v>16</v>
      </c>
    </row>
    <row r="184" spans="1:4" x14ac:dyDescent="0.25">
      <c r="A184" s="6" t="s">
        <v>318</v>
      </c>
      <c r="B184" s="5" t="s">
        <v>203</v>
      </c>
      <c r="C184">
        <v>11</v>
      </c>
      <c r="D184" s="1" t="s">
        <v>16</v>
      </c>
    </row>
    <row r="185" spans="1:4" x14ac:dyDescent="0.25">
      <c r="A185" s="6" t="s">
        <v>319</v>
      </c>
      <c r="B185" s="5" t="s">
        <v>205</v>
      </c>
      <c r="C185">
        <v>11</v>
      </c>
      <c r="D185" s="1" t="s">
        <v>16</v>
      </c>
    </row>
    <row r="186" spans="1:4" x14ac:dyDescent="0.25">
      <c r="A186" s="6" t="s">
        <v>320</v>
      </c>
      <c r="B186" s="5" t="s">
        <v>207</v>
      </c>
      <c r="C186">
        <v>11</v>
      </c>
      <c r="D186" s="1" t="s">
        <v>16</v>
      </c>
    </row>
    <row r="187" spans="1:4" x14ac:dyDescent="0.25">
      <c r="A187" s="6" t="s">
        <v>321</v>
      </c>
      <c r="B187" s="5" t="s">
        <v>209</v>
      </c>
      <c r="C187">
        <v>11</v>
      </c>
      <c r="D187" s="1" t="s">
        <v>16</v>
      </c>
    </row>
    <row r="188" spans="1:4" x14ac:dyDescent="0.25">
      <c r="A188" s="6" t="s">
        <v>322</v>
      </c>
      <c r="B188" s="5" t="s">
        <v>211</v>
      </c>
      <c r="C188">
        <v>11</v>
      </c>
      <c r="D188" s="1" t="s">
        <v>16</v>
      </c>
    </row>
    <row r="189" spans="1:4" x14ac:dyDescent="0.25">
      <c r="A189" s="6" t="s">
        <v>323</v>
      </c>
      <c r="B189" s="5" t="s">
        <v>213</v>
      </c>
      <c r="C189">
        <v>11</v>
      </c>
      <c r="D189" s="1" t="s">
        <v>16</v>
      </c>
    </row>
    <row r="190" spans="1:4" x14ac:dyDescent="0.25">
      <c r="A190" s="6" t="s">
        <v>324</v>
      </c>
      <c r="B190" s="5" t="s">
        <v>325</v>
      </c>
      <c r="C190">
        <v>11</v>
      </c>
      <c r="D190" s="1" t="s">
        <v>16</v>
      </c>
    </row>
    <row r="191" spans="1:4" x14ac:dyDescent="0.25">
      <c r="A191" s="6" t="s">
        <v>326</v>
      </c>
      <c r="B191" s="5" t="s">
        <v>327</v>
      </c>
      <c r="C191">
        <v>11</v>
      </c>
      <c r="D191" s="1" t="s">
        <v>16</v>
      </c>
    </row>
    <row r="192" spans="1:4" x14ac:dyDescent="0.25">
      <c r="A192" s="10" t="s">
        <v>398</v>
      </c>
      <c r="B192" s="9" t="s">
        <v>399</v>
      </c>
      <c r="C192">
        <v>11</v>
      </c>
      <c r="D192" s="1" t="s">
        <v>16</v>
      </c>
    </row>
    <row r="193" spans="1:4" x14ac:dyDescent="0.25">
      <c r="A193" s="6" t="s">
        <v>328</v>
      </c>
      <c r="B193" s="5" t="s">
        <v>329</v>
      </c>
      <c r="C193">
        <v>11</v>
      </c>
      <c r="D193" s="1" t="s">
        <v>16</v>
      </c>
    </row>
    <row r="194" spans="1:4" x14ac:dyDescent="0.25">
      <c r="A194" s="6" t="s">
        <v>330</v>
      </c>
      <c r="B194" s="5" t="s">
        <v>217</v>
      </c>
      <c r="C194">
        <v>11</v>
      </c>
      <c r="D194" s="1" t="s">
        <v>16</v>
      </c>
    </row>
    <row r="195" spans="1:4" x14ac:dyDescent="0.25">
      <c r="A195" s="50" t="s">
        <v>475</v>
      </c>
      <c r="B195" s="50" t="s">
        <v>476</v>
      </c>
      <c r="C195">
        <v>11</v>
      </c>
      <c r="D195" s="1" t="s">
        <v>16</v>
      </c>
    </row>
    <row r="196" spans="1:4" x14ac:dyDescent="0.25">
      <c r="A196" t="s">
        <v>486</v>
      </c>
      <c r="B196" t="s">
        <v>487</v>
      </c>
      <c r="C196">
        <v>11</v>
      </c>
      <c r="D196" s="1" t="s">
        <v>16</v>
      </c>
    </row>
    <row r="197" spans="1:4" x14ac:dyDescent="0.25">
      <c r="A197" s="39" t="s">
        <v>423</v>
      </c>
      <c r="B197" s="38" t="s">
        <v>424</v>
      </c>
      <c r="C197">
        <v>11</v>
      </c>
      <c r="D197" s="1" t="s">
        <v>16</v>
      </c>
    </row>
    <row r="198" spans="1:4" x14ac:dyDescent="0.25">
      <c r="A198" s="6" t="s">
        <v>331</v>
      </c>
      <c r="B198" s="5" t="s">
        <v>332</v>
      </c>
      <c r="C198">
        <v>11</v>
      </c>
      <c r="D198" s="1" t="s">
        <v>16</v>
      </c>
    </row>
    <row r="199" spans="1:4" x14ac:dyDescent="0.25">
      <c r="A199" t="s">
        <v>429</v>
      </c>
      <c r="B199" t="s">
        <v>430</v>
      </c>
      <c r="C199">
        <v>11</v>
      </c>
      <c r="D199" s="1" t="s">
        <v>16</v>
      </c>
    </row>
    <row r="200" spans="1:4" x14ac:dyDescent="0.25">
      <c r="A200" s="6" t="s">
        <v>333</v>
      </c>
      <c r="B200" s="5" t="s">
        <v>334</v>
      </c>
      <c r="C200">
        <v>11</v>
      </c>
      <c r="D200" s="1" t="s">
        <v>16</v>
      </c>
    </row>
    <row r="201" spans="1:4" x14ac:dyDescent="0.25">
      <c r="A201" t="s">
        <v>488</v>
      </c>
      <c r="B201" t="s">
        <v>489</v>
      </c>
      <c r="C201">
        <v>11</v>
      </c>
      <c r="D201" s="1" t="s">
        <v>16</v>
      </c>
    </row>
    <row r="202" spans="1:4" x14ac:dyDescent="0.25">
      <c r="A202" s="49" t="s">
        <v>462</v>
      </c>
      <c r="B202" s="48" t="s">
        <v>463</v>
      </c>
      <c r="C202">
        <v>11</v>
      </c>
      <c r="D202" s="1" t="s">
        <v>16</v>
      </c>
    </row>
    <row r="203" spans="1:4" x14ac:dyDescent="0.25">
      <c r="A203" s="49" t="s">
        <v>464</v>
      </c>
      <c r="B203" s="48" t="s">
        <v>465</v>
      </c>
      <c r="C203">
        <v>11</v>
      </c>
      <c r="D203" s="1" t="s">
        <v>16</v>
      </c>
    </row>
    <row r="204" spans="1:4" x14ac:dyDescent="0.25">
      <c r="A204" s="6" t="s">
        <v>335</v>
      </c>
      <c r="B204" s="5" t="s">
        <v>18</v>
      </c>
      <c r="C204" s="3" t="s">
        <v>373</v>
      </c>
      <c r="D204" s="1" t="s">
        <v>375</v>
      </c>
    </row>
    <row r="205" spans="1:4" x14ac:dyDescent="0.25">
      <c r="A205" t="s">
        <v>500</v>
      </c>
      <c r="B205" t="s">
        <v>501</v>
      </c>
      <c r="C205">
        <v>14</v>
      </c>
      <c r="D205" s="4" t="s">
        <v>18</v>
      </c>
    </row>
    <row r="206" spans="1:4" x14ac:dyDescent="0.25">
      <c r="A206" s="6" t="s">
        <v>336</v>
      </c>
      <c r="B206" s="5" t="s">
        <v>337</v>
      </c>
      <c r="C206">
        <v>14</v>
      </c>
      <c r="D206" s="4" t="s">
        <v>18</v>
      </c>
    </row>
    <row r="207" spans="1:4" x14ac:dyDescent="0.25">
      <c r="A207" s="6" t="s">
        <v>338</v>
      </c>
      <c r="B207" s="5" t="s">
        <v>339</v>
      </c>
      <c r="C207">
        <v>14</v>
      </c>
      <c r="D207" s="4" t="s">
        <v>18</v>
      </c>
    </row>
    <row r="208" spans="1:4" x14ac:dyDescent="0.25">
      <c r="A208" s="6" t="s">
        <v>340</v>
      </c>
      <c r="B208" s="5" t="s">
        <v>341</v>
      </c>
      <c r="C208">
        <v>14</v>
      </c>
      <c r="D208" s="4" t="s">
        <v>18</v>
      </c>
    </row>
    <row r="209" spans="1:4" x14ac:dyDescent="0.25">
      <c r="A209" s="6" t="s">
        <v>342</v>
      </c>
      <c r="B209" s="5" t="s">
        <v>343</v>
      </c>
      <c r="C209">
        <v>14</v>
      </c>
      <c r="D209" s="4" t="s">
        <v>18</v>
      </c>
    </row>
    <row r="210" spans="1:4" x14ac:dyDescent="0.25">
      <c r="A210" s="6" t="s">
        <v>344</v>
      </c>
      <c r="B210" s="5" t="s">
        <v>345</v>
      </c>
      <c r="C210">
        <v>14</v>
      </c>
      <c r="D210" s="4" t="s">
        <v>18</v>
      </c>
    </row>
    <row r="211" spans="1:4" x14ac:dyDescent="0.25">
      <c r="A211" s="6" t="s">
        <v>346</v>
      </c>
      <c r="B211" s="5" t="s">
        <v>347</v>
      </c>
      <c r="C211">
        <v>14</v>
      </c>
      <c r="D211" s="4" t="s">
        <v>18</v>
      </c>
    </row>
    <row r="212" spans="1:4" x14ac:dyDescent="0.25">
      <c r="A212" s="6" t="s">
        <v>348</v>
      </c>
      <c r="B212" s="5" t="s">
        <v>349</v>
      </c>
      <c r="C212">
        <v>14</v>
      </c>
      <c r="D212" s="4" t="s">
        <v>18</v>
      </c>
    </row>
    <row r="213" spans="1:4" x14ac:dyDescent="0.25">
      <c r="A213" t="s">
        <v>469</v>
      </c>
      <c r="B213" t="s">
        <v>470</v>
      </c>
      <c r="C213">
        <v>14</v>
      </c>
      <c r="D213" s="4" t="s">
        <v>18</v>
      </c>
    </row>
    <row r="214" spans="1:4" x14ac:dyDescent="0.25">
      <c r="A214" s="44" t="s">
        <v>452</v>
      </c>
      <c r="B214" s="43" t="s">
        <v>453</v>
      </c>
      <c r="C214">
        <v>14</v>
      </c>
      <c r="D214" s="4" t="s">
        <v>18</v>
      </c>
    </row>
    <row r="215" spans="1:4" x14ac:dyDescent="0.25">
      <c r="A215" s="50" t="s">
        <v>477</v>
      </c>
      <c r="B215" s="50" t="s">
        <v>478</v>
      </c>
      <c r="C215">
        <v>14</v>
      </c>
      <c r="D215" s="4" t="s">
        <v>18</v>
      </c>
    </row>
    <row r="216" spans="1:4" x14ac:dyDescent="0.25">
      <c r="A216" t="s">
        <v>484</v>
      </c>
      <c r="B216" t="s">
        <v>485</v>
      </c>
      <c r="C216">
        <v>14</v>
      </c>
      <c r="D216" s="4" t="s">
        <v>18</v>
      </c>
    </row>
    <row r="217" spans="1:4" x14ac:dyDescent="0.25">
      <c r="A217" t="s">
        <v>490</v>
      </c>
      <c r="B217" t="s">
        <v>491</v>
      </c>
      <c r="C217">
        <v>20</v>
      </c>
      <c r="D217" s="4" t="s">
        <v>18</v>
      </c>
    </row>
    <row r="218" spans="1:4" x14ac:dyDescent="0.25">
      <c r="A218" t="s">
        <v>492</v>
      </c>
      <c r="B218" t="s">
        <v>493</v>
      </c>
      <c r="C218">
        <v>20</v>
      </c>
      <c r="D218" s="4" t="s">
        <v>18</v>
      </c>
    </row>
    <row r="219" spans="1:4" x14ac:dyDescent="0.25">
      <c r="A219" t="s">
        <v>509</v>
      </c>
      <c r="B219" t="s">
        <v>510</v>
      </c>
      <c r="C219">
        <v>14</v>
      </c>
      <c r="D219" s="4" t="s">
        <v>18</v>
      </c>
    </row>
    <row r="220" spans="1:4" x14ac:dyDescent="0.25">
      <c r="A220" t="s">
        <v>511</v>
      </c>
      <c r="B220" t="s">
        <v>512</v>
      </c>
      <c r="C220">
        <v>14</v>
      </c>
      <c r="D220" s="4" t="s">
        <v>18</v>
      </c>
    </row>
    <row r="221" spans="1:4" x14ac:dyDescent="0.25">
      <c r="A221" t="s">
        <v>517</v>
      </c>
      <c r="B221" t="s">
        <v>518</v>
      </c>
      <c r="C221">
        <v>14</v>
      </c>
      <c r="D221" s="4" t="s">
        <v>18</v>
      </c>
    </row>
    <row r="222" spans="1:4" x14ac:dyDescent="0.25">
      <c r="A222" s="6" t="s">
        <v>350</v>
      </c>
      <c r="B222" s="5" t="s">
        <v>351</v>
      </c>
      <c r="C222" s="3" t="s">
        <v>373</v>
      </c>
      <c r="D222" s="4" t="s">
        <v>375</v>
      </c>
    </row>
    <row r="223" spans="1:4" x14ac:dyDescent="0.25">
      <c r="A223" s="6" t="s">
        <v>352</v>
      </c>
      <c r="B223" s="5" t="s">
        <v>56</v>
      </c>
      <c r="C223">
        <v>12</v>
      </c>
      <c r="D223" s="1" t="s">
        <v>52</v>
      </c>
    </row>
    <row r="224" spans="1:4" x14ac:dyDescent="0.25">
      <c r="A224" s="6" t="s">
        <v>353</v>
      </c>
      <c r="B224" s="5" t="s">
        <v>57</v>
      </c>
      <c r="C224">
        <v>12</v>
      </c>
      <c r="D224" s="1" t="s">
        <v>52</v>
      </c>
    </row>
    <row r="225" spans="1:5" x14ac:dyDescent="0.25">
      <c r="A225" s="6" t="s">
        <v>354</v>
      </c>
      <c r="B225" s="5" t="s">
        <v>58</v>
      </c>
      <c r="C225">
        <v>12</v>
      </c>
      <c r="D225" s="1" t="s">
        <v>52</v>
      </c>
    </row>
    <row r="226" spans="1:5" x14ac:dyDescent="0.25">
      <c r="A226" s="6" t="s">
        <v>355</v>
      </c>
      <c r="B226" s="5" t="s">
        <v>356</v>
      </c>
      <c r="C226">
        <v>12</v>
      </c>
      <c r="D226" s="1" t="s">
        <v>52</v>
      </c>
    </row>
    <row r="227" spans="1:5" x14ac:dyDescent="0.25">
      <c r="A227" s="44" t="s">
        <v>454</v>
      </c>
      <c r="B227" s="43" t="s">
        <v>455</v>
      </c>
      <c r="C227">
        <v>12</v>
      </c>
      <c r="D227" s="1" t="s">
        <v>52</v>
      </c>
    </row>
    <row r="228" spans="1:5" x14ac:dyDescent="0.25">
      <c r="A228" t="s">
        <v>496</v>
      </c>
      <c r="B228" t="s">
        <v>497</v>
      </c>
      <c r="C228">
        <v>12</v>
      </c>
      <c r="D228" s="1" t="s">
        <v>52</v>
      </c>
    </row>
    <row r="229" spans="1:5" x14ac:dyDescent="0.25">
      <c r="A229" t="s">
        <v>506</v>
      </c>
      <c r="B229" t="s">
        <v>55</v>
      </c>
      <c r="C229">
        <v>12</v>
      </c>
      <c r="D229" s="1" t="s">
        <v>52</v>
      </c>
    </row>
    <row r="230" spans="1:5" x14ac:dyDescent="0.25">
      <c r="A230" s="42" t="s">
        <v>448</v>
      </c>
      <c r="B230" s="41" t="s">
        <v>449</v>
      </c>
      <c r="C230">
        <v>12</v>
      </c>
      <c r="D230" s="1" t="s">
        <v>52</v>
      </c>
    </row>
    <row r="231" spans="1:5" x14ac:dyDescent="0.25">
      <c r="A231" t="s">
        <v>507</v>
      </c>
      <c r="B231" t="s">
        <v>508</v>
      </c>
      <c r="C231">
        <v>12</v>
      </c>
      <c r="D231" s="1" t="s">
        <v>52</v>
      </c>
    </row>
    <row r="232" spans="1:5" x14ac:dyDescent="0.25">
      <c r="A232" s="49" t="s">
        <v>466</v>
      </c>
      <c r="B232" s="48" t="s">
        <v>467</v>
      </c>
      <c r="C232">
        <v>12</v>
      </c>
      <c r="D232" s="1" t="s">
        <v>52</v>
      </c>
    </row>
    <row r="233" spans="1:5" x14ac:dyDescent="0.25">
      <c r="A233" s="6" t="s">
        <v>357</v>
      </c>
      <c r="B233" s="5" t="s">
        <v>358</v>
      </c>
      <c r="C233">
        <v>3</v>
      </c>
      <c r="D233" s="4" t="s">
        <v>8</v>
      </c>
    </row>
    <row r="234" spans="1:5" x14ac:dyDescent="0.25">
      <c r="A234" s="37" t="s">
        <v>419</v>
      </c>
      <c r="B234" s="36" t="s">
        <v>420</v>
      </c>
      <c r="C234">
        <v>3</v>
      </c>
      <c r="D234" s="4" t="s">
        <v>8</v>
      </c>
    </row>
    <row r="235" spans="1:5" x14ac:dyDescent="0.25">
      <c r="A235" s="6" t="s">
        <v>359</v>
      </c>
      <c r="B235" s="5" t="s">
        <v>360</v>
      </c>
      <c r="C235">
        <v>12</v>
      </c>
      <c r="D235" s="1" t="s">
        <v>52</v>
      </c>
    </row>
    <row r="236" spans="1:5" x14ac:dyDescent="0.25">
      <c r="A236" s="6" t="s">
        <v>361</v>
      </c>
      <c r="B236" s="5" t="s">
        <v>362</v>
      </c>
      <c r="C236">
        <v>12</v>
      </c>
      <c r="D236" s="1" t="s">
        <v>52</v>
      </c>
    </row>
    <row r="237" spans="1:5" x14ac:dyDescent="0.25">
      <c r="A237" t="s">
        <v>431</v>
      </c>
      <c r="B237" t="s">
        <v>432</v>
      </c>
      <c r="C237">
        <v>12</v>
      </c>
      <c r="D237" s="1" t="s">
        <v>52</v>
      </c>
    </row>
    <row r="238" spans="1:5" x14ac:dyDescent="0.25">
      <c r="A238" s="6" t="s">
        <v>363</v>
      </c>
      <c r="B238" s="5" t="s">
        <v>364</v>
      </c>
      <c r="C238">
        <v>12</v>
      </c>
      <c r="D238" s="1" t="s">
        <v>52</v>
      </c>
    </row>
    <row r="239" spans="1:5" x14ac:dyDescent="0.25">
      <c r="A239" s="6" t="s">
        <v>365</v>
      </c>
      <c r="B239" s="5" t="s">
        <v>366</v>
      </c>
      <c r="C239">
        <v>12</v>
      </c>
      <c r="D239" s="1" t="s">
        <v>52</v>
      </c>
    </row>
    <row r="240" spans="1:5" x14ac:dyDescent="0.25">
      <c r="A240" s="45" t="s">
        <v>367</v>
      </c>
      <c r="B240" s="46" t="s">
        <v>368</v>
      </c>
      <c r="C240" s="40">
        <v>21</v>
      </c>
      <c r="D240" s="47" t="s">
        <v>403</v>
      </c>
      <c r="E240" s="40"/>
    </row>
    <row r="241" spans="1:5" x14ac:dyDescent="0.25">
      <c r="A241" t="s">
        <v>494</v>
      </c>
      <c r="B241" t="s">
        <v>495</v>
      </c>
      <c r="C241">
        <v>12</v>
      </c>
      <c r="D241" s="1" t="s">
        <v>52</v>
      </c>
      <c r="E241" s="40"/>
    </row>
    <row r="242" spans="1:5" x14ac:dyDescent="0.25">
      <c r="A242" s="44" t="s">
        <v>456</v>
      </c>
      <c r="B242" s="43" t="s">
        <v>457</v>
      </c>
      <c r="C242">
        <v>12</v>
      </c>
      <c r="D242" s="1" t="s">
        <v>52</v>
      </c>
    </row>
    <row r="243" spans="1:5" x14ac:dyDescent="0.25">
      <c r="A243" s="44" t="s">
        <v>458</v>
      </c>
      <c r="B243" s="43" t="s">
        <v>459</v>
      </c>
      <c r="C243">
        <v>23</v>
      </c>
      <c r="D243" t="s">
        <v>411</v>
      </c>
    </row>
    <row r="244" spans="1:5" x14ac:dyDescent="0.25">
      <c r="A244" s="10" t="s">
        <v>400</v>
      </c>
      <c r="B244" s="9" t="s">
        <v>401</v>
      </c>
      <c r="C244">
        <v>20</v>
      </c>
      <c r="D244" s="7" t="s">
        <v>402</v>
      </c>
    </row>
    <row r="245" spans="1:5" x14ac:dyDescent="0.25">
      <c r="A245" s="35" t="s">
        <v>415</v>
      </c>
      <c r="B245" s="34" t="s">
        <v>416</v>
      </c>
      <c r="C245">
        <v>12</v>
      </c>
      <c r="D245" s="1" t="s">
        <v>52</v>
      </c>
    </row>
    <row r="246" spans="1:5" x14ac:dyDescent="0.25">
      <c r="A246" s="35" t="s">
        <v>417</v>
      </c>
      <c r="B246" s="34" t="s">
        <v>418</v>
      </c>
      <c r="C246">
        <v>12</v>
      </c>
      <c r="D246" s="1" t="s">
        <v>52</v>
      </c>
    </row>
    <row r="247" spans="1:5" x14ac:dyDescent="0.25">
      <c r="A247" s="37" t="s">
        <v>421</v>
      </c>
      <c r="B247" s="36" t="s">
        <v>422</v>
      </c>
      <c r="C247">
        <v>12</v>
      </c>
      <c r="D247" s="1" t="s">
        <v>52</v>
      </c>
    </row>
    <row r="248" spans="1:5" x14ac:dyDescent="0.25">
      <c r="A248" s="50" t="s">
        <v>479</v>
      </c>
      <c r="B248" s="50" t="s">
        <v>480</v>
      </c>
      <c r="C248">
        <v>12</v>
      </c>
      <c r="D248" s="1" t="s">
        <v>52</v>
      </c>
    </row>
    <row r="249" spans="1:5" x14ac:dyDescent="0.25">
      <c r="A249" s="50" t="s">
        <v>481</v>
      </c>
      <c r="B249" s="50" t="s">
        <v>482</v>
      </c>
      <c r="C249">
        <v>20</v>
      </c>
      <c r="D249" s="7" t="s">
        <v>402</v>
      </c>
    </row>
    <row r="250" spans="1:5" x14ac:dyDescent="0.25">
      <c r="A250" t="s">
        <v>519</v>
      </c>
      <c r="B250" t="s">
        <v>520</v>
      </c>
      <c r="C250">
        <v>20</v>
      </c>
      <c r="D250" s="7" t="s">
        <v>402</v>
      </c>
    </row>
    <row r="251" spans="1:5" x14ac:dyDescent="0.25">
      <c r="A251" s="6" t="s">
        <v>369</v>
      </c>
      <c r="B251" s="5" t="s">
        <v>370</v>
      </c>
      <c r="C251" s="3" t="s">
        <v>373</v>
      </c>
      <c r="D251" s="1" t="s">
        <v>375</v>
      </c>
    </row>
    <row r="252" spans="1:5" x14ac:dyDescent="0.25">
      <c r="A252" s="6" t="s">
        <v>371</v>
      </c>
      <c r="B252" s="5" t="s">
        <v>372</v>
      </c>
      <c r="C252">
        <v>12</v>
      </c>
      <c r="D252" s="1" t="s">
        <v>52</v>
      </c>
    </row>
    <row r="253" spans="1:5" x14ac:dyDescent="0.25">
      <c r="A253" t="s">
        <v>471</v>
      </c>
      <c r="B253" t="s">
        <v>472</v>
      </c>
      <c r="C253">
        <v>12</v>
      </c>
      <c r="D253" s="1" t="s">
        <v>52</v>
      </c>
    </row>
    <row r="254" spans="1:5" x14ac:dyDescent="0.25">
      <c r="A254" t="s">
        <v>502</v>
      </c>
      <c r="B254" t="s">
        <v>503</v>
      </c>
      <c r="C254">
        <v>20</v>
      </c>
      <c r="D254" s="7" t="s">
        <v>402</v>
      </c>
    </row>
    <row r="255" spans="1:5" x14ac:dyDescent="0.25">
      <c r="A255" t="s">
        <v>504</v>
      </c>
      <c r="B255" t="s">
        <v>505</v>
      </c>
      <c r="C255">
        <v>20</v>
      </c>
      <c r="D255" s="7" t="s">
        <v>402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Export</vt:lpstr>
      <vt:lpstr>Teste</vt:lpstr>
      <vt:lpstr>Planilha1</vt:lpstr>
      <vt:lpstr>indice</vt:lpstr>
      <vt:lpstr>Export!Area_de_impressao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</dc:creator>
  <cp:lastModifiedBy>Fabio Freire</cp:lastModifiedBy>
  <cp:lastPrinted>2024-06-14T15:04:55Z</cp:lastPrinted>
  <dcterms:created xsi:type="dcterms:W3CDTF">2023-07-10T13:12:36Z</dcterms:created>
  <dcterms:modified xsi:type="dcterms:W3CDTF">2026-08-19T18:42:01Z</dcterms:modified>
</cp:coreProperties>
</file>